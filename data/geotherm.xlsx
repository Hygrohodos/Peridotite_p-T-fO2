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\Documents\6_Data\"/>
    </mc:Choice>
  </mc:AlternateContent>
  <xr:revisionPtr revIDLastSave="0" documentId="8_{9BE4AD56-CC9A-4B76-BBE4-6485BBE3B7ED}" xr6:coauthVersionLast="47" xr6:coauthVersionMax="47" xr10:uidLastSave="{00000000-0000-0000-0000-000000000000}"/>
  <bookViews>
    <workbookView xWindow="-108" yWindow="-108" windowWidth="23256" windowHeight="12456" xr2:uid="{2705A0D7-BD66-42E1-BE74-50DDB80D5A56}"/>
  </bookViews>
  <sheets>
    <sheet name="Sheet1" sheetId="1" r:id="rId1"/>
  </sheets>
  <externalReferences>
    <externalReference r:id="rId2"/>
  </externalReferenc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82" i="1" l="1"/>
  <c r="P181" i="1"/>
  <c r="W3" i="1"/>
  <c r="W4" i="1" s="1"/>
  <c r="W5" i="1" s="1"/>
  <c r="W6" i="1" s="1"/>
  <c r="W7" i="1" s="1"/>
  <c r="W8" i="1" s="1"/>
  <c r="W9" i="1" s="1"/>
  <c r="W10" i="1" s="1"/>
  <c r="W11" i="1" s="1"/>
  <c r="W12" i="1" s="1"/>
  <c r="W13" i="1" s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W30" i="1" s="1"/>
  <c r="W31" i="1" s="1"/>
  <c r="W32" i="1" s="1"/>
  <c r="W33" i="1" s="1"/>
  <c r="W34" i="1" s="1"/>
  <c r="W35" i="1" s="1"/>
  <c r="W36" i="1" s="1"/>
  <c r="W37" i="1" s="1"/>
  <c r="W38" i="1" s="1"/>
  <c r="W39" i="1" s="1"/>
  <c r="W40" i="1" s="1"/>
  <c r="W41" i="1" s="1"/>
  <c r="W42" i="1" s="1"/>
  <c r="W43" i="1" s="1"/>
  <c r="W44" i="1" s="1"/>
  <c r="W45" i="1" s="1"/>
  <c r="W46" i="1" s="1"/>
  <c r="W47" i="1" s="1"/>
  <c r="W48" i="1" s="1"/>
  <c r="W49" i="1" s="1"/>
  <c r="W50" i="1" s="1"/>
  <c r="W51" i="1" s="1"/>
  <c r="W52" i="1" s="1"/>
  <c r="W53" i="1" s="1"/>
  <c r="W54" i="1" s="1"/>
  <c r="W55" i="1" s="1"/>
  <c r="W56" i="1" s="1"/>
  <c r="W57" i="1" s="1"/>
  <c r="W58" i="1" s="1"/>
  <c r="W59" i="1" s="1"/>
  <c r="W60" i="1" s="1"/>
  <c r="W61" i="1" s="1"/>
  <c r="W62" i="1" s="1"/>
  <c r="W63" i="1" s="1"/>
  <c r="W64" i="1" s="1"/>
  <c r="W65" i="1" s="1"/>
  <c r="W66" i="1" s="1"/>
  <c r="W67" i="1" s="1"/>
  <c r="W68" i="1" s="1"/>
  <c r="W69" i="1" s="1"/>
  <c r="W70" i="1" s="1"/>
  <c r="W71" i="1" s="1"/>
  <c r="W72" i="1" s="1"/>
  <c r="W73" i="1" s="1"/>
  <c r="W74" i="1" s="1"/>
  <c r="W75" i="1" s="1"/>
  <c r="W76" i="1" s="1"/>
  <c r="W77" i="1" s="1"/>
  <c r="W78" i="1" s="1"/>
  <c r="W79" i="1" s="1"/>
  <c r="W80" i="1" s="1"/>
  <c r="W81" i="1" s="1"/>
  <c r="W82" i="1" s="1"/>
  <c r="W83" i="1" s="1"/>
  <c r="W84" i="1" s="1"/>
  <c r="W85" i="1" s="1"/>
  <c r="W86" i="1" s="1"/>
  <c r="W87" i="1" s="1"/>
  <c r="W88" i="1" s="1"/>
  <c r="W89" i="1" s="1"/>
  <c r="W90" i="1" s="1"/>
  <c r="W91" i="1" s="1"/>
  <c r="W92" i="1" s="1"/>
  <c r="W93" i="1" s="1"/>
  <c r="W94" i="1" s="1"/>
  <c r="W95" i="1" s="1"/>
  <c r="W96" i="1" s="1"/>
  <c r="W97" i="1" s="1"/>
  <c r="W98" i="1" s="1"/>
  <c r="W99" i="1" s="1"/>
  <c r="W100" i="1" s="1"/>
  <c r="W101" i="1" s="1"/>
  <c r="W102" i="1" s="1"/>
  <c r="W103" i="1" s="1"/>
  <c r="W104" i="1" s="1"/>
  <c r="W105" i="1" s="1"/>
  <c r="W106" i="1" s="1"/>
  <c r="W107" i="1" s="1"/>
  <c r="W108" i="1" s="1"/>
  <c r="W109" i="1" s="1"/>
  <c r="W110" i="1" s="1"/>
  <c r="W111" i="1" s="1"/>
  <c r="W112" i="1" s="1"/>
  <c r="W113" i="1" s="1"/>
  <c r="W114" i="1" s="1"/>
  <c r="W115" i="1" s="1"/>
  <c r="W116" i="1" s="1"/>
  <c r="W117" i="1" s="1"/>
  <c r="W118" i="1" s="1"/>
  <c r="W119" i="1" s="1"/>
  <c r="W120" i="1" s="1"/>
  <c r="W121" i="1" s="1"/>
  <c r="W122" i="1" s="1"/>
  <c r="W123" i="1" s="1"/>
  <c r="W124" i="1" s="1"/>
  <c r="W125" i="1" s="1"/>
  <c r="W126" i="1" s="1"/>
  <c r="W127" i="1" s="1"/>
  <c r="W128" i="1" s="1"/>
  <c r="W129" i="1" s="1"/>
  <c r="W130" i="1" s="1"/>
  <c r="W131" i="1" s="1"/>
  <c r="W132" i="1" s="1"/>
  <c r="W133" i="1" s="1"/>
  <c r="W134" i="1" s="1"/>
  <c r="W135" i="1" s="1"/>
  <c r="W136" i="1" s="1"/>
  <c r="W137" i="1" s="1"/>
  <c r="W138" i="1" s="1"/>
  <c r="W139" i="1" s="1"/>
  <c r="W140" i="1" s="1"/>
  <c r="W141" i="1" s="1"/>
  <c r="W142" i="1" s="1"/>
  <c r="W143" i="1" s="1"/>
  <c r="W144" i="1" s="1"/>
  <c r="W145" i="1" s="1"/>
  <c r="W146" i="1" s="1"/>
  <c r="W147" i="1" s="1"/>
  <c r="W148" i="1" s="1"/>
  <c r="W149" i="1" s="1"/>
  <c r="W150" i="1" s="1"/>
  <c r="W151" i="1" s="1"/>
  <c r="W152" i="1" s="1"/>
  <c r="W153" i="1" s="1"/>
  <c r="W154" i="1" s="1"/>
  <c r="W155" i="1" s="1"/>
  <c r="W156" i="1" s="1"/>
  <c r="W157" i="1" s="1"/>
  <c r="W158" i="1" s="1"/>
  <c r="W159" i="1" s="1"/>
  <c r="W160" i="1" s="1"/>
  <c r="W161" i="1" s="1"/>
  <c r="W162" i="1" s="1"/>
  <c r="W163" i="1" s="1"/>
  <c r="W164" i="1" s="1"/>
  <c r="W165" i="1" s="1"/>
  <c r="W166" i="1" s="1"/>
  <c r="W167" i="1" s="1"/>
  <c r="W168" i="1" s="1"/>
  <c r="W169" i="1" s="1"/>
  <c r="W170" i="1" s="1"/>
  <c r="W171" i="1" s="1"/>
  <c r="W172" i="1" s="1"/>
  <c r="W173" i="1" s="1"/>
  <c r="W174" i="1" s="1"/>
  <c r="W175" i="1" s="1"/>
  <c r="W176" i="1" s="1"/>
  <c r="W177" i="1" s="1"/>
  <c r="W178" i="1" s="1"/>
  <c r="W179" i="1" s="1"/>
  <c r="W180" i="1" s="1"/>
  <c r="W181" i="1" s="1"/>
  <c r="W182" i="1" s="1"/>
  <c r="W183" i="1" s="1"/>
  <c r="W184" i="1" s="1"/>
  <c r="W185" i="1" s="1"/>
  <c r="W186" i="1" s="1"/>
  <c r="W187" i="1" s="1"/>
  <c r="W188" i="1" s="1"/>
  <c r="W189" i="1" s="1"/>
  <c r="W190" i="1" s="1"/>
  <c r="W191" i="1" s="1"/>
  <c r="W192" i="1" s="1"/>
  <c r="W193" i="1" s="1"/>
  <c r="W194" i="1" s="1"/>
  <c r="W195" i="1" s="1"/>
  <c r="W196" i="1" s="1"/>
  <c r="W197" i="1" s="1"/>
  <c r="W198" i="1" s="1"/>
  <c r="W199" i="1" s="1"/>
  <c r="W200" i="1" s="1"/>
  <c r="W201" i="1" s="1"/>
  <c r="W202" i="1" s="1"/>
  <c r="W203" i="1" s="1"/>
  <c r="W204" i="1" s="1"/>
  <c r="W205" i="1" s="1"/>
  <c r="V3" i="1"/>
  <c r="V4" i="1" s="1"/>
  <c r="V5" i="1" s="1"/>
  <c r="V6" i="1" s="1"/>
  <c r="V7" i="1" s="1"/>
  <c r="V8" i="1" s="1"/>
  <c r="V9" i="1" s="1"/>
  <c r="V10" i="1" s="1"/>
  <c r="V11" i="1" s="1"/>
  <c r="V12" i="1" s="1"/>
  <c r="V13" i="1" s="1"/>
  <c r="V14" i="1" s="1"/>
  <c r="V15" i="1" s="1"/>
  <c r="V16" i="1" s="1"/>
  <c r="V17" i="1" s="1"/>
  <c r="V18" i="1" s="1"/>
  <c r="V19" i="1" s="1"/>
  <c r="V20" i="1" s="1"/>
  <c r="V21" i="1" s="1"/>
  <c r="V22" i="1" s="1"/>
  <c r="V23" i="1" s="1"/>
  <c r="V24" i="1" s="1"/>
  <c r="V25" i="1" s="1"/>
  <c r="V26" i="1" s="1"/>
  <c r="V27" i="1" s="1"/>
  <c r="V28" i="1" s="1"/>
  <c r="V29" i="1" s="1"/>
  <c r="V30" i="1" s="1"/>
  <c r="V31" i="1" s="1"/>
  <c r="V32" i="1" s="1"/>
  <c r="V33" i="1" s="1"/>
  <c r="V34" i="1" s="1"/>
  <c r="V35" i="1" s="1"/>
  <c r="V36" i="1" s="1"/>
  <c r="V37" i="1" s="1"/>
  <c r="V38" i="1" s="1"/>
  <c r="V39" i="1" s="1"/>
  <c r="V40" i="1" s="1"/>
  <c r="V41" i="1" s="1"/>
  <c r="V42" i="1" s="1"/>
  <c r="V43" i="1" s="1"/>
  <c r="V44" i="1" s="1"/>
  <c r="V45" i="1" s="1"/>
  <c r="V46" i="1" s="1"/>
  <c r="V47" i="1" s="1"/>
  <c r="V48" i="1" s="1"/>
  <c r="V49" i="1" s="1"/>
  <c r="V50" i="1" s="1"/>
  <c r="V51" i="1" s="1"/>
  <c r="V52" i="1" s="1"/>
  <c r="V53" i="1" s="1"/>
  <c r="V54" i="1" s="1"/>
  <c r="V55" i="1" s="1"/>
  <c r="V56" i="1" s="1"/>
  <c r="V57" i="1" s="1"/>
  <c r="V58" i="1" s="1"/>
  <c r="V59" i="1" s="1"/>
  <c r="V60" i="1" s="1"/>
  <c r="V61" i="1" s="1"/>
  <c r="V62" i="1" s="1"/>
  <c r="V63" i="1" s="1"/>
  <c r="V64" i="1" s="1"/>
  <c r="V65" i="1" s="1"/>
  <c r="V66" i="1" s="1"/>
  <c r="V67" i="1" s="1"/>
  <c r="V68" i="1" s="1"/>
  <c r="V69" i="1" s="1"/>
  <c r="V70" i="1" s="1"/>
  <c r="V71" i="1" s="1"/>
  <c r="V72" i="1" s="1"/>
  <c r="V73" i="1" s="1"/>
  <c r="V74" i="1" s="1"/>
  <c r="V75" i="1" s="1"/>
  <c r="V76" i="1" s="1"/>
  <c r="V77" i="1" s="1"/>
  <c r="V78" i="1" s="1"/>
  <c r="V79" i="1" s="1"/>
  <c r="V80" i="1" s="1"/>
  <c r="V81" i="1" s="1"/>
  <c r="V82" i="1" s="1"/>
  <c r="V83" i="1" s="1"/>
  <c r="V84" i="1" s="1"/>
  <c r="V85" i="1" s="1"/>
  <c r="V86" i="1" s="1"/>
  <c r="V87" i="1" s="1"/>
  <c r="V88" i="1" s="1"/>
  <c r="V89" i="1" s="1"/>
  <c r="V90" i="1" s="1"/>
  <c r="V91" i="1" s="1"/>
  <c r="V92" i="1" s="1"/>
  <c r="V93" i="1" s="1"/>
  <c r="V94" i="1" s="1"/>
  <c r="V95" i="1" s="1"/>
  <c r="V96" i="1" s="1"/>
  <c r="V97" i="1" s="1"/>
  <c r="V98" i="1" s="1"/>
  <c r="V99" i="1" s="1"/>
  <c r="V100" i="1" s="1"/>
  <c r="V101" i="1" s="1"/>
  <c r="V102" i="1" s="1"/>
  <c r="V103" i="1" s="1"/>
  <c r="V104" i="1" s="1"/>
  <c r="V105" i="1" s="1"/>
  <c r="V106" i="1" s="1"/>
  <c r="V107" i="1" s="1"/>
  <c r="V108" i="1" s="1"/>
  <c r="V109" i="1" s="1"/>
  <c r="V110" i="1" s="1"/>
  <c r="V111" i="1" s="1"/>
  <c r="V112" i="1" s="1"/>
  <c r="V113" i="1" s="1"/>
  <c r="V114" i="1" s="1"/>
  <c r="V115" i="1" s="1"/>
  <c r="V116" i="1" s="1"/>
  <c r="V117" i="1" s="1"/>
  <c r="V118" i="1" s="1"/>
  <c r="V119" i="1" s="1"/>
  <c r="V120" i="1" s="1"/>
  <c r="V121" i="1" s="1"/>
  <c r="V122" i="1" s="1"/>
  <c r="V123" i="1" s="1"/>
  <c r="V124" i="1" s="1"/>
  <c r="V125" i="1" s="1"/>
  <c r="V126" i="1" s="1"/>
  <c r="V127" i="1" s="1"/>
  <c r="V128" i="1" s="1"/>
  <c r="V129" i="1" s="1"/>
  <c r="V130" i="1" s="1"/>
  <c r="V131" i="1" s="1"/>
  <c r="V132" i="1" s="1"/>
  <c r="V133" i="1" s="1"/>
  <c r="V134" i="1" s="1"/>
  <c r="V135" i="1" s="1"/>
  <c r="V136" i="1" s="1"/>
  <c r="V137" i="1" s="1"/>
  <c r="V138" i="1" s="1"/>
  <c r="V139" i="1" s="1"/>
  <c r="V140" i="1" s="1"/>
  <c r="V141" i="1" s="1"/>
  <c r="V142" i="1" s="1"/>
  <c r="V143" i="1" s="1"/>
  <c r="V144" i="1" s="1"/>
  <c r="V145" i="1" s="1"/>
  <c r="V146" i="1" s="1"/>
  <c r="V147" i="1" s="1"/>
  <c r="V148" i="1" s="1"/>
  <c r="V149" i="1" s="1"/>
  <c r="V150" i="1" s="1"/>
  <c r="V151" i="1" s="1"/>
  <c r="V152" i="1" s="1"/>
  <c r="V153" i="1" s="1"/>
  <c r="V154" i="1" s="1"/>
  <c r="V155" i="1" s="1"/>
  <c r="V156" i="1" s="1"/>
  <c r="V157" i="1" s="1"/>
  <c r="V158" i="1" s="1"/>
  <c r="V159" i="1" s="1"/>
  <c r="V160" i="1" s="1"/>
  <c r="V161" i="1" s="1"/>
  <c r="V162" i="1" s="1"/>
  <c r="V163" i="1" s="1"/>
  <c r="V164" i="1" s="1"/>
  <c r="V165" i="1" s="1"/>
  <c r="V166" i="1" s="1"/>
  <c r="V167" i="1" s="1"/>
  <c r="V168" i="1" s="1"/>
  <c r="V169" i="1" s="1"/>
  <c r="V170" i="1" s="1"/>
  <c r="V171" i="1" s="1"/>
  <c r="V172" i="1" s="1"/>
  <c r="V173" i="1" s="1"/>
  <c r="V174" i="1" s="1"/>
  <c r="V175" i="1" s="1"/>
  <c r="V176" i="1" s="1"/>
  <c r="V177" i="1" s="1"/>
  <c r="V178" i="1" s="1"/>
  <c r="V179" i="1" s="1"/>
  <c r="V180" i="1" s="1"/>
  <c r="V181" i="1" s="1"/>
  <c r="V182" i="1" s="1"/>
  <c r="V183" i="1" s="1"/>
  <c r="V184" i="1" s="1"/>
  <c r="V185" i="1" s="1"/>
  <c r="V186" i="1" s="1"/>
  <c r="V187" i="1" s="1"/>
  <c r="V188" i="1" s="1"/>
  <c r="V189" i="1" s="1"/>
  <c r="V190" i="1" s="1"/>
  <c r="V191" i="1" s="1"/>
  <c r="V192" i="1" s="1"/>
  <c r="V193" i="1" s="1"/>
  <c r="V194" i="1" s="1"/>
  <c r="V195" i="1" s="1"/>
  <c r="V196" i="1" s="1"/>
  <c r="V197" i="1" s="1"/>
  <c r="V198" i="1" s="1"/>
  <c r="V199" i="1" s="1"/>
  <c r="V200" i="1" s="1"/>
  <c r="V201" i="1" s="1"/>
  <c r="V202" i="1" s="1"/>
  <c r="V203" i="1" s="1"/>
  <c r="V204" i="1" s="1"/>
  <c r="V205" i="1" s="1"/>
  <c r="U3" i="1"/>
  <c r="U4" i="1" s="1"/>
  <c r="U5" i="1" s="1"/>
  <c r="U6" i="1" s="1"/>
  <c r="U7" i="1" s="1"/>
  <c r="U8" i="1" s="1"/>
  <c r="U9" i="1" s="1"/>
  <c r="U10" i="1" s="1"/>
  <c r="U11" i="1" s="1"/>
  <c r="U12" i="1" s="1"/>
  <c r="U13" i="1" s="1"/>
  <c r="U14" i="1" s="1"/>
  <c r="U15" i="1" s="1"/>
  <c r="U16" i="1" s="1"/>
  <c r="U17" i="1" s="1"/>
  <c r="U18" i="1" s="1"/>
  <c r="U19" i="1" s="1"/>
  <c r="U20" i="1" s="1"/>
  <c r="U21" i="1" s="1"/>
  <c r="U22" i="1" s="1"/>
  <c r="U23" i="1" s="1"/>
  <c r="U24" i="1" s="1"/>
  <c r="U25" i="1" s="1"/>
  <c r="U26" i="1" s="1"/>
  <c r="U27" i="1" s="1"/>
  <c r="U28" i="1" s="1"/>
  <c r="U29" i="1" s="1"/>
  <c r="U30" i="1" s="1"/>
  <c r="U31" i="1" s="1"/>
  <c r="U32" i="1" s="1"/>
  <c r="U33" i="1" s="1"/>
  <c r="U34" i="1" s="1"/>
  <c r="U35" i="1" s="1"/>
  <c r="U36" i="1" s="1"/>
  <c r="U37" i="1" s="1"/>
  <c r="U38" i="1" s="1"/>
  <c r="U39" i="1" s="1"/>
  <c r="U40" i="1" s="1"/>
  <c r="U41" i="1" s="1"/>
  <c r="U42" i="1" s="1"/>
  <c r="U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U124" i="1" s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T3" i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T24" i="1" s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T185" i="1" s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S3" i="1"/>
  <c r="Y3" i="1" s="1"/>
  <c r="AD3" i="1" s="1"/>
  <c r="Q3" i="1"/>
  <c r="Q4" i="1" s="1"/>
  <c r="G3" i="1"/>
  <c r="G4" i="1" s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F3" i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E3" i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D3" i="1"/>
  <c r="I3" i="1" s="1"/>
  <c r="N3" i="1" s="1"/>
  <c r="C3" i="1"/>
  <c r="C4" i="1" s="1"/>
  <c r="A3" i="1"/>
  <c r="B3" i="1" s="1"/>
  <c r="J3" i="1" s="1"/>
  <c r="K3" i="1" s="1"/>
  <c r="L3" i="1" s="1"/>
  <c r="M3" i="1" s="1"/>
  <c r="AE2" i="1"/>
  <c r="Y2" i="1"/>
  <c r="AD2" i="1" s="1"/>
  <c r="R2" i="1"/>
  <c r="Z2" i="1" s="1"/>
  <c r="AA2" i="1" s="1"/>
  <c r="AB2" i="1" s="1"/>
  <c r="AC2" i="1" s="1"/>
  <c r="I2" i="1"/>
  <c r="N2" i="1" s="1"/>
  <c r="B2" i="1"/>
  <c r="J2" i="1" s="1"/>
  <c r="K2" i="1" s="1"/>
  <c r="L2" i="1" s="1"/>
  <c r="M2" i="1" s="1"/>
  <c r="C5" i="1" l="1"/>
  <c r="R4" i="1"/>
  <c r="Q5" i="1"/>
  <c r="R3" i="1"/>
  <c r="D4" i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S4" i="1"/>
  <c r="A4" i="1"/>
  <c r="B4" i="1" l="1"/>
  <c r="J4" i="1" s="1"/>
  <c r="K4" i="1" s="1"/>
  <c r="L4" i="1" s="1"/>
  <c r="M4" i="1" s="1"/>
  <c r="A5" i="1"/>
  <c r="R5" i="1"/>
  <c r="Q6" i="1"/>
  <c r="S5" i="1"/>
  <c r="Y4" i="1"/>
  <c r="AD4" i="1" s="1"/>
  <c r="AE4" i="1"/>
  <c r="Z4" i="1"/>
  <c r="AA4" i="1" s="1"/>
  <c r="AB4" i="1" s="1"/>
  <c r="AC4" i="1" s="1"/>
  <c r="I4" i="1"/>
  <c r="N4" i="1" s="1"/>
  <c r="Z3" i="1"/>
  <c r="AA3" i="1" s="1"/>
  <c r="AB3" i="1" s="1"/>
  <c r="AC3" i="1" s="1"/>
  <c r="AE3" i="1"/>
  <c r="I5" i="1"/>
  <c r="N5" i="1" s="1"/>
  <c r="C6" i="1"/>
  <c r="Q7" i="1" l="1"/>
  <c r="R6" i="1"/>
  <c r="AE5" i="1"/>
  <c r="Z5" i="1"/>
  <c r="AA5" i="1" s="1"/>
  <c r="AB5" i="1" s="1"/>
  <c r="AC5" i="1" s="1"/>
  <c r="A6" i="1"/>
  <c r="B5" i="1"/>
  <c r="J5" i="1" s="1"/>
  <c r="K5" i="1" s="1"/>
  <c r="L5" i="1" s="1"/>
  <c r="M5" i="1" s="1"/>
  <c r="I6" i="1"/>
  <c r="N6" i="1" s="1"/>
  <c r="C7" i="1"/>
  <c r="S6" i="1"/>
  <c r="Y5" i="1"/>
  <c r="AD5" i="1" s="1"/>
  <c r="C8" i="1" l="1"/>
  <c r="AE6" i="1"/>
  <c r="Z6" i="1"/>
  <c r="AA6" i="1" s="1"/>
  <c r="AB6" i="1" s="1"/>
  <c r="AC6" i="1" s="1"/>
  <c r="Y6" i="1"/>
  <c r="AD6" i="1" s="1"/>
  <c r="S7" i="1"/>
  <c r="A7" i="1"/>
  <c r="B6" i="1"/>
  <c r="J6" i="1" s="1"/>
  <c r="K6" i="1" s="1"/>
  <c r="L6" i="1" s="1"/>
  <c r="M6" i="1" s="1"/>
  <c r="Q8" i="1"/>
  <c r="R7" i="1"/>
  <c r="B7" i="1" l="1"/>
  <c r="J7" i="1" s="1"/>
  <c r="K7" i="1" s="1"/>
  <c r="L7" i="1" s="1"/>
  <c r="M7" i="1" s="1"/>
  <c r="A8" i="1"/>
  <c r="Z7" i="1"/>
  <c r="AA7" i="1" s="1"/>
  <c r="AB7" i="1" s="1"/>
  <c r="AC7" i="1" s="1"/>
  <c r="AE7" i="1"/>
  <c r="Y7" i="1"/>
  <c r="AD7" i="1" s="1"/>
  <c r="S8" i="1"/>
  <c r="I7" i="1"/>
  <c r="N7" i="1" s="1"/>
  <c r="R8" i="1"/>
  <c r="Q9" i="1"/>
  <c r="C9" i="1"/>
  <c r="I8" i="1"/>
  <c r="N8" i="1" s="1"/>
  <c r="AE8" i="1" l="1"/>
  <c r="Z8" i="1"/>
  <c r="AA8" i="1" s="1"/>
  <c r="AB8" i="1" s="1"/>
  <c r="AC8" i="1" s="1"/>
  <c r="C10" i="1"/>
  <c r="S9" i="1"/>
  <c r="Y8" i="1"/>
  <c r="AD8" i="1" s="1"/>
  <c r="B8" i="1"/>
  <c r="J8" i="1" s="1"/>
  <c r="K8" i="1" s="1"/>
  <c r="L8" i="1" s="1"/>
  <c r="M8" i="1" s="1"/>
  <c r="A9" i="1"/>
  <c r="R9" i="1"/>
  <c r="Q10" i="1"/>
  <c r="A10" i="1" l="1"/>
  <c r="B9" i="1"/>
  <c r="J9" i="1" s="1"/>
  <c r="K9" i="1" s="1"/>
  <c r="L9" i="1" s="1"/>
  <c r="M9" i="1" s="1"/>
  <c r="I10" i="1"/>
  <c r="N10" i="1" s="1"/>
  <c r="C11" i="1"/>
  <c r="I9" i="1"/>
  <c r="N9" i="1" s="1"/>
  <c r="Q11" i="1"/>
  <c r="R10" i="1"/>
  <c r="AE9" i="1"/>
  <c r="Z9" i="1"/>
  <c r="AA9" i="1" s="1"/>
  <c r="AB9" i="1" s="1"/>
  <c r="AC9" i="1" s="1"/>
  <c r="S10" i="1"/>
  <c r="Y9" i="1"/>
  <c r="AD9" i="1" s="1"/>
  <c r="C12" i="1" l="1"/>
  <c r="I11" i="1"/>
  <c r="N11" i="1" s="1"/>
  <c r="AE10" i="1"/>
  <c r="Z10" i="1"/>
  <c r="AA10" i="1" s="1"/>
  <c r="AB10" i="1" s="1"/>
  <c r="AC10" i="1" s="1"/>
  <c r="Y10" i="1"/>
  <c r="AD10" i="1" s="1"/>
  <c r="S11" i="1"/>
  <c r="Q12" i="1"/>
  <c r="R11" i="1"/>
  <c r="A11" i="1"/>
  <c r="B10" i="1"/>
  <c r="J10" i="1" s="1"/>
  <c r="K10" i="1" s="1"/>
  <c r="L10" i="1" s="1"/>
  <c r="M10" i="1" s="1"/>
  <c r="Y11" i="1" l="1"/>
  <c r="AD11" i="1" s="1"/>
  <c r="S12" i="1"/>
  <c r="B11" i="1"/>
  <c r="J11" i="1" s="1"/>
  <c r="K11" i="1" s="1"/>
  <c r="L11" i="1" s="1"/>
  <c r="M11" i="1" s="1"/>
  <c r="A12" i="1"/>
  <c r="I12" i="1" s="1"/>
  <c r="N12" i="1" s="1"/>
  <c r="Z11" i="1"/>
  <c r="AA11" i="1" s="1"/>
  <c r="AB11" i="1" s="1"/>
  <c r="AC11" i="1" s="1"/>
  <c r="AE11" i="1"/>
  <c r="R12" i="1"/>
  <c r="Q13" i="1"/>
  <c r="C13" i="1"/>
  <c r="S13" i="1" l="1"/>
  <c r="Y12" i="1"/>
  <c r="AD12" i="1" s="1"/>
  <c r="R13" i="1"/>
  <c r="Q14" i="1"/>
  <c r="B12" i="1"/>
  <c r="J12" i="1" s="1"/>
  <c r="K12" i="1" s="1"/>
  <c r="L12" i="1" s="1"/>
  <c r="M12" i="1" s="1"/>
  <c r="A13" i="1"/>
  <c r="AE12" i="1"/>
  <c r="Z12" i="1"/>
  <c r="AA12" i="1" s="1"/>
  <c r="AB12" i="1" s="1"/>
  <c r="AC12" i="1" s="1"/>
  <c r="C14" i="1"/>
  <c r="Q15" i="1" l="1"/>
  <c r="R14" i="1"/>
  <c r="AE13" i="1"/>
  <c r="Z13" i="1"/>
  <c r="AA13" i="1" s="1"/>
  <c r="AB13" i="1" s="1"/>
  <c r="AC13" i="1" s="1"/>
  <c r="C15" i="1"/>
  <c r="A14" i="1"/>
  <c r="B13" i="1"/>
  <c r="J13" i="1" s="1"/>
  <c r="K13" i="1" s="1"/>
  <c r="L13" i="1" s="1"/>
  <c r="M13" i="1" s="1"/>
  <c r="I13" i="1"/>
  <c r="N13" i="1" s="1"/>
  <c r="S14" i="1"/>
  <c r="Y13" i="1"/>
  <c r="AD13" i="1" s="1"/>
  <c r="A15" i="1" l="1"/>
  <c r="B14" i="1"/>
  <c r="J14" i="1" s="1"/>
  <c r="K14" i="1" s="1"/>
  <c r="L14" i="1" s="1"/>
  <c r="M14" i="1" s="1"/>
  <c r="Y14" i="1"/>
  <c r="AD14" i="1" s="1"/>
  <c r="S15" i="1"/>
  <c r="C16" i="1"/>
  <c r="I15" i="1"/>
  <c r="N15" i="1" s="1"/>
  <c r="AE14" i="1"/>
  <c r="Z14" i="1"/>
  <c r="AA14" i="1" s="1"/>
  <c r="AB14" i="1" s="1"/>
  <c r="AC14" i="1" s="1"/>
  <c r="I14" i="1"/>
  <c r="N14" i="1" s="1"/>
  <c r="Q16" i="1"/>
  <c r="R15" i="1"/>
  <c r="Y15" i="1" l="1"/>
  <c r="AD15" i="1" s="1"/>
  <c r="S16" i="1"/>
  <c r="Z15" i="1"/>
  <c r="AA15" i="1" s="1"/>
  <c r="AB15" i="1" s="1"/>
  <c r="AC15" i="1" s="1"/>
  <c r="AE15" i="1"/>
  <c r="R16" i="1"/>
  <c r="Q17" i="1"/>
  <c r="C17" i="1"/>
  <c r="I16" i="1"/>
  <c r="N16" i="1" s="1"/>
  <c r="B15" i="1"/>
  <c r="J15" i="1" s="1"/>
  <c r="K15" i="1" s="1"/>
  <c r="L15" i="1" s="1"/>
  <c r="M15" i="1" s="1"/>
  <c r="A16" i="1"/>
  <c r="C18" i="1" l="1"/>
  <c r="B16" i="1"/>
  <c r="J16" i="1" s="1"/>
  <c r="K16" i="1" s="1"/>
  <c r="L16" i="1" s="1"/>
  <c r="M16" i="1" s="1"/>
  <c r="A17" i="1"/>
  <c r="R17" i="1"/>
  <c r="Q18" i="1"/>
  <c r="S17" i="1"/>
  <c r="Y16" i="1"/>
  <c r="AD16" i="1" s="1"/>
  <c r="AE16" i="1"/>
  <c r="Z16" i="1"/>
  <c r="AA16" i="1" s="1"/>
  <c r="AB16" i="1" s="1"/>
  <c r="AC16" i="1" s="1"/>
  <c r="A18" i="1" l="1"/>
  <c r="I18" i="1" s="1"/>
  <c r="N18" i="1" s="1"/>
  <c r="B17" i="1"/>
  <c r="J17" i="1" s="1"/>
  <c r="K17" i="1" s="1"/>
  <c r="L17" i="1" s="1"/>
  <c r="M17" i="1" s="1"/>
  <c r="S18" i="1"/>
  <c r="Y17" i="1"/>
  <c r="AD17" i="1" s="1"/>
  <c r="Q19" i="1"/>
  <c r="R18" i="1"/>
  <c r="C19" i="1"/>
  <c r="AE17" i="1"/>
  <c r="Z17" i="1"/>
  <c r="AA17" i="1" s="1"/>
  <c r="AB17" i="1" s="1"/>
  <c r="AC17" i="1" s="1"/>
  <c r="I17" i="1"/>
  <c r="N17" i="1" s="1"/>
  <c r="C20" i="1" l="1"/>
  <c r="Y18" i="1"/>
  <c r="AD18" i="1" s="1"/>
  <c r="S19" i="1"/>
  <c r="AE18" i="1"/>
  <c r="Z18" i="1"/>
  <c r="AA18" i="1" s="1"/>
  <c r="AB18" i="1" s="1"/>
  <c r="AC18" i="1" s="1"/>
  <c r="Q20" i="1"/>
  <c r="R19" i="1"/>
  <c r="A19" i="1"/>
  <c r="I19" i="1" s="1"/>
  <c r="N19" i="1" s="1"/>
  <c r="B18" i="1"/>
  <c r="J18" i="1" s="1"/>
  <c r="K18" i="1" s="1"/>
  <c r="L18" i="1" s="1"/>
  <c r="M18" i="1" s="1"/>
  <c r="AE19" i="1" l="1"/>
  <c r="Z19" i="1"/>
  <c r="AA19" i="1" s="1"/>
  <c r="AB19" i="1" s="1"/>
  <c r="AC19" i="1" s="1"/>
  <c r="S20" i="1"/>
  <c r="Y19" i="1"/>
  <c r="AD19" i="1" s="1"/>
  <c r="R20" i="1"/>
  <c r="Q21" i="1"/>
  <c r="B19" i="1"/>
  <c r="J19" i="1" s="1"/>
  <c r="K19" i="1" s="1"/>
  <c r="L19" i="1" s="1"/>
  <c r="M19" i="1" s="1"/>
  <c r="A20" i="1"/>
  <c r="C21" i="1"/>
  <c r="A21" i="1" l="1"/>
  <c r="B20" i="1"/>
  <c r="J20" i="1" s="1"/>
  <c r="K20" i="1" s="1"/>
  <c r="L20" i="1" s="1"/>
  <c r="M20" i="1" s="1"/>
  <c r="S21" i="1"/>
  <c r="Y20" i="1"/>
  <c r="AD20" i="1" s="1"/>
  <c r="I21" i="1"/>
  <c r="N21" i="1" s="1"/>
  <c r="C22" i="1"/>
  <c r="Q22" i="1"/>
  <c r="R21" i="1"/>
  <c r="I20" i="1"/>
  <c r="N20" i="1" s="1"/>
  <c r="AE20" i="1"/>
  <c r="Z20" i="1"/>
  <c r="AA20" i="1" s="1"/>
  <c r="AB20" i="1" s="1"/>
  <c r="AC20" i="1" s="1"/>
  <c r="AE21" i="1" l="1"/>
  <c r="Z21" i="1"/>
  <c r="AA21" i="1" s="1"/>
  <c r="AB21" i="1" s="1"/>
  <c r="AC21" i="1" s="1"/>
  <c r="Q23" i="1"/>
  <c r="R22" i="1"/>
  <c r="Y21" i="1"/>
  <c r="AD21" i="1" s="1"/>
  <c r="S22" i="1"/>
  <c r="C23" i="1"/>
  <c r="I22" i="1"/>
  <c r="N22" i="1" s="1"/>
  <c r="A22" i="1"/>
  <c r="B21" i="1"/>
  <c r="J21" i="1" s="1"/>
  <c r="K21" i="1" s="1"/>
  <c r="L21" i="1" s="1"/>
  <c r="M21" i="1" s="1"/>
  <c r="Z22" i="1" l="1"/>
  <c r="AA22" i="1" s="1"/>
  <c r="AB22" i="1" s="1"/>
  <c r="AC22" i="1" s="1"/>
  <c r="AE22" i="1"/>
  <c r="C24" i="1"/>
  <c r="R23" i="1"/>
  <c r="Q24" i="1"/>
  <c r="Y22" i="1"/>
  <c r="AD22" i="1" s="1"/>
  <c r="S23" i="1"/>
  <c r="B22" i="1"/>
  <c r="J22" i="1" s="1"/>
  <c r="K22" i="1" s="1"/>
  <c r="L22" i="1" s="1"/>
  <c r="M22" i="1" s="1"/>
  <c r="A23" i="1"/>
  <c r="I23" i="1" s="1"/>
  <c r="N23" i="1" s="1"/>
  <c r="R24" i="1" l="1"/>
  <c r="Q25" i="1"/>
  <c r="S24" i="1"/>
  <c r="Y23" i="1"/>
  <c r="AD23" i="1" s="1"/>
  <c r="C25" i="1"/>
  <c r="B23" i="1"/>
  <c r="J23" i="1" s="1"/>
  <c r="K23" i="1" s="1"/>
  <c r="L23" i="1" s="1"/>
  <c r="M23" i="1" s="1"/>
  <c r="A24" i="1"/>
  <c r="AE23" i="1"/>
  <c r="Z23" i="1"/>
  <c r="AA23" i="1" s="1"/>
  <c r="AB23" i="1" s="1"/>
  <c r="AC23" i="1" s="1"/>
  <c r="S25" i="1" l="1"/>
  <c r="Y24" i="1"/>
  <c r="AD24" i="1" s="1"/>
  <c r="C26" i="1"/>
  <c r="Q26" i="1"/>
  <c r="R25" i="1"/>
  <c r="A25" i="1"/>
  <c r="B24" i="1"/>
  <c r="J24" i="1" s="1"/>
  <c r="K24" i="1" s="1"/>
  <c r="L24" i="1" s="1"/>
  <c r="M24" i="1" s="1"/>
  <c r="I24" i="1"/>
  <c r="N24" i="1" s="1"/>
  <c r="AE24" i="1"/>
  <c r="Z24" i="1"/>
  <c r="AA24" i="1" s="1"/>
  <c r="AB24" i="1" s="1"/>
  <c r="AC24" i="1" s="1"/>
  <c r="A26" i="1" l="1"/>
  <c r="B25" i="1"/>
  <c r="J25" i="1" s="1"/>
  <c r="K25" i="1" s="1"/>
  <c r="L25" i="1" s="1"/>
  <c r="M25" i="1" s="1"/>
  <c r="I25" i="1"/>
  <c r="N25" i="1" s="1"/>
  <c r="AE25" i="1"/>
  <c r="Z25" i="1"/>
  <c r="AA25" i="1" s="1"/>
  <c r="AB25" i="1" s="1"/>
  <c r="AC25" i="1" s="1"/>
  <c r="C27" i="1"/>
  <c r="I26" i="1"/>
  <c r="N26" i="1" s="1"/>
  <c r="Q27" i="1"/>
  <c r="R26" i="1"/>
  <c r="Y25" i="1"/>
  <c r="AD25" i="1" s="1"/>
  <c r="S26" i="1"/>
  <c r="R27" i="1" l="1"/>
  <c r="Q28" i="1"/>
  <c r="Y26" i="1"/>
  <c r="AD26" i="1" s="1"/>
  <c r="S27" i="1"/>
  <c r="C28" i="1"/>
  <c r="I27" i="1"/>
  <c r="N27" i="1" s="1"/>
  <c r="Z26" i="1"/>
  <c r="AA26" i="1" s="1"/>
  <c r="AB26" i="1" s="1"/>
  <c r="AC26" i="1" s="1"/>
  <c r="AE26" i="1"/>
  <c r="B26" i="1"/>
  <c r="J26" i="1" s="1"/>
  <c r="K26" i="1" s="1"/>
  <c r="L26" i="1" s="1"/>
  <c r="M26" i="1" s="1"/>
  <c r="A27" i="1"/>
  <c r="R28" i="1" l="1"/>
  <c r="Q29" i="1"/>
  <c r="S28" i="1"/>
  <c r="Y27" i="1"/>
  <c r="AD27" i="1" s="1"/>
  <c r="B27" i="1"/>
  <c r="J27" i="1" s="1"/>
  <c r="K27" i="1" s="1"/>
  <c r="L27" i="1" s="1"/>
  <c r="M27" i="1" s="1"/>
  <c r="A28" i="1"/>
  <c r="I28" i="1" s="1"/>
  <c r="N28" i="1" s="1"/>
  <c r="C29" i="1"/>
  <c r="AE27" i="1"/>
  <c r="Z27" i="1"/>
  <c r="AA27" i="1" s="1"/>
  <c r="AB27" i="1" s="1"/>
  <c r="AC27" i="1" s="1"/>
  <c r="S29" i="1" l="1"/>
  <c r="Y28" i="1"/>
  <c r="AD28" i="1" s="1"/>
  <c r="I29" i="1"/>
  <c r="N29" i="1" s="1"/>
  <c r="C30" i="1"/>
  <c r="A29" i="1"/>
  <c r="B28" i="1"/>
  <c r="J28" i="1" s="1"/>
  <c r="K28" i="1" s="1"/>
  <c r="L28" i="1" s="1"/>
  <c r="M28" i="1" s="1"/>
  <c r="Q30" i="1"/>
  <c r="R29" i="1"/>
  <c r="AE28" i="1"/>
  <c r="Z28" i="1"/>
  <c r="AA28" i="1" s="1"/>
  <c r="AB28" i="1" s="1"/>
  <c r="AC28" i="1" s="1"/>
  <c r="C31" i="1" l="1"/>
  <c r="I30" i="1"/>
  <c r="N30" i="1" s="1"/>
  <c r="AE29" i="1"/>
  <c r="Z29" i="1"/>
  <c r="AA29" i="1" s="1"/>
  <c r="AB29" i="1" s="1"/>
  <c r="AC29" i="1" s="1"/>
  <c r="Q31" i="1"/>
  <c r="R30" i="1"/>
  <c r="A30" i="1"/>
  <c r="B29" i="1"/>
  <c r="J29" i="1" s="1"/>
  <c r="K29" i="1" s="1"/>
  <c r="L29" i="1" s="1"/>
  <c r="M29" i="1" s="1"/>
  <c r="Y29" i="1"/>
  <c r="AD29" i="1" s="1"/>
  <c r="S30" i="1"/>
  <c r="Y30" i="1" l="1"/>
  <c r="AD30" i="1" s="1"/>
  <c r="S31" i="1"/>
  <c r="Z30" i="1"/>
  <c r="AA30" i="1" s="1"/>
  <c r="AB30" i="1" s="1"/>
  <c r="AC30" i="1" s="1"/>
  <c r="AE30" i="1"/>
  <c r="R31" i="1"/>
  <c r="Q32" i="1"/>
  <c r="B30" i="1"/>
  <c r="J30" i="1" s="1"/>
  <c r="K30" i="1" s="1"/>
  <c r="L30" i="1" s="1"/>
  <c r="M30" i="1" s="1"/>
  <c r="A31" i="1"/>
  <c r="C32" i="1"/>
  <c r="I32" i="1" l="1"/>
  <c r="N32" i="1" s="1"/>
  <c r="C33" i="1"/>
  <c r="AE31" i="1"/>
  <c r="Z31" i="1"/>
  <c r="AA31" i="1" s="1"/>
  <c r="AB31" i="1" s="1"/>
  <c r="AC31" i="1" s="1"/>
  <c r="B31" i="1"/>
  <c r="J31" i="1" s="1"/>
  <c r="K31" i="1" s="1"/>
  <c r="L31" i="1" s="1"/>
  <c r="M31" i="1" s="1"/>
  <c r="A32" i="1"/>
  <c r="I31" i="1"/>
  <c r="N31" i="1" s="1"/>
  <c r="R32" i="1"/>
  <c r="Q33" i="1"/>
  <c r="S32" i="1"/>
  <c r="Y31" i="1"/>
  <c r="AD31" i="1" s="1"/>
  <c r="AE32" i="1" l="1"/>
  <c r="Z32" i="1"/>
  <c r="AA32" i="1" s="1"/>
  <c r="AB32" i="1" s="1"/>
  <c r="AC32" i="1" s="1"/>
  <c r="S33" i="1"/>
  <c r="Y32" i="1"/>
  <c r="AD32" i="1" s="1"/>
  <c r="A33" i="1"/>
  <c r="B32" i="1"/>
  <c r="J32" i="1" s="1"/>
  <c r="K32" i="1" s="1"/>
  <c r="L32" i="1" s="1"/>
  <c r="M32" i="1" s="1"/>
  <c r="I33" i="1"/>
  <c r="N33" i="1" s="1"/>
  <c r="C34" i="1"/>
  <c r="Q34" i="1"/>
  <c r="R33" i="1"/>
  <c r="C35" i="1" l="1"/>
  <c r="I34" i="1"/>
  <c r="N34" i="1" s="1"/>
  <c r="Y33" i="1"/>
  <c r="AD33" i="1" s="1"/>
  <c r="S34" i="1"/>
  <c r="AE33" i="1"/>
  <c r="Z33" i="1"/>
  <c r="AA33" i="1" s="1"/>
  <c r="AB33" i="1" s="1"/>
  <c r="AC33" i="1" s="1"/>
  <c r="Q35" i="1"/>
  <c r="R34" i="1"/>
  <c r="A34" i="1"/>
  <c r="B33" i="1"/>
  <c r="J33" i="1" s="1"/>
  <c r="K33" i="1" s="1"/>
  <c r="L33" i="1" s="1"/>
  <c r="M33" i="1" s="1"/>
  <c r="Z34" i="1" l="1"/>
  <c r="AA34" i="1" s="1"/>
  <c r="AB34" i="1" s="1"/>
  <c r="AC34" i="1" s="1"/>
  <c r="AE34" i="1"/>
  <c r="Y34" i="1"/>
  <c r="AD34" i="1" s="1"/>
  <c r="S35" i="1"/>
  <c r="R35" i="1"/>
  <c r="Q36" i="1"/>
  <c r="B34" i="1"/>
  <c r="J34" i="1" s="1"/>
  <c r="K34" i="1" s="1"/>
  <c r="L34" i="1" s="1"/>
  <c r="M34" i="1" s="1"/>
  <c r="A35" i="1"/>
  <c r="I35" i="1" s="1"/>
  <c r="N35" i="1" s="1"/>
  <c r="C36" i="1"/>
  <c r="S36" i="1" l="1"/>
  <c r="Y35" i="1"/>
  <c r="AD35" i="1" s="1"/>
  <c r="B35" i="1"/>
  <c r="J35" i="1" s="1"/>
  <c r="K35" i="1" s="1"/>
  <c r="L35" i="1" s="1"/>
  <c r="M35" i="1" s="1"/>
  <c r="A36" i="1"/>
  <c r="R36" i="1"/>
  <c r="Q37" i="1"/>
  <c r="I36" i="1"/>
  <c r="N36" i="1" s="1"/>
  <c r="C37" i="1"/>
  <c r="AE35" i="1"/>
  <c r="Z35" i="1"/>
  <c r="AA35" i="1" s="1"/>
  <c r="AB35" i="1" s="1"/>
  <c r="AC35" i="1" s="1"/>
  <c r="C38" i="1" l="1"/>
  <c r="A37" i="1"/>
  <c r="B36" i="1"/>
  <c r="J36" i="1" s="1"/>
  <c r="K36" i="1" s="1"/>
  <c r="L36" i="1" s="1"/>
  <c r="M36" i="1" s="1"/>
  <c r="Q38" i="1"/>
  <c r="R37" i="1"/>
  <c r="AE36" i="1"/>
  <c r="Z36" i="1"/>
  <c r="AA36" i="1" s="1"/>
  <c r="AB36" i="1" s="1"/>
  <c r="AC36" i="1" s="1"/>
  <c r="S37" i="1"/>
  <c r="Y36" i="1"/>
  <c r="AD36" i="1" s="1"/>
  <c r="A38" i="1" l="1"/>
  <c r="B37" i="1"/>
  <c r="J37" i="1" s="1"/>
  <c r="K37" i="1" s="1"/>
  <c r="L37" i="1" s="1"/>
  <c r="M37" i="1" s="1"/>
  <c r="AE37" i="1"/>
  <c r="Z37" i="1"/>
  <c r="AA37" i="1" s="1"/>
  <c r="AB37" i="1" s="1"/>
  <c r="AC37" i="1" s="1"/>
  <c r="C39" i="1"/>
  <c r="I38" i="1"/>
  <c r="N38" i="1" s="1"/>
  <c r="Y37" i="1"/>
  <c r="AD37" i="1" s="1"/>
  <c r="S38" i="1"/>
  <c r="Q39" i="1"/>
  <c r="R38" i="1"/>
  <c r="I37" i="1"/>
  <c r="N37" i="1" s="1"/>
  <c r="Y38" i="1" l="1"/>
  <c r="AD38" i="1" s="1"/>
  <c r="S39" i="1"/>
  <c r="Z38" i="1"/>
  <c r="AA38" i="1" s="1"/>
  <c r="AB38" i="1" s="1"/>
  <c r="AC38" i="1" s="1"/>
  <c r="AE38" i="1"/>
  <c r="R39" i="1"/>
  <c r="Q40" i="1"/>
  <c r="C40" i="1"/>
  <c r="I39" i="1"/>
  <c r="N39" i="1" s="1"/>
  <c r="B38" i="1"/>
  <c r="J38" i="1" s="1"/>
  <c r="K38" i="1" s="1"/>
  <c r="L38" i="1" s="1"/>
  <c r="M38" i="1" s="1"/>
  <c r="A39" i="1"/>
  <c r="C41" i="1" l="1"/>
  <c r="AE39" i="1"/>
  <c r="Z39" i="1"/>
  <c r="AA39" i="1" s="1"/>
  <c r="AB39" i="1" s="1"/>
  <c r="AC39" i="1" s="1"/>
  <c r="B39" i="1"/>
  <c r="J39" i="1" s="1"/>
  <c r="K39" i="1" s="1"/>
  <c r="L39" i="1" s="1"/>
  <c r="M39" i="1" s="1"/>
  <c r="A40" i="1"/>
  <c r="R40" i="1"/>
  <c r="Q41" i="1"/>
  <c r="S40" i="1"/>
  <c r="Y39" i="1"/>
  <c r="AD39" i="1" s="1"/>
  <c r="AE40" i="1" l="1"/>
  <c r="Z40" i="1"/>
  <c r="AA40" i="1" s="1"/>
  <c r="AB40" i="1" s="1"/>
  <c r="AC40" i="1" s="1"/>
  <c r="Q42" i="1"/>
  <c r="R41" i="1"/>
  <c r="A41" i="1"/>
  <c r="I41" i="1" s="1"/>
  <c r="N41" i="1" s="1"/>
  <c r="B40" i="1"/>
  <c r="J40" i="1" s="1"/>
  <c r="K40" i="1" s="1"/>
  <c r="L40" i="1" s="1"/>
  <c r="M40" i="1" s="1"/>
  <c r="C42" i="1"/>
  <c r="S41" i="1"/>
  <c r="Y40" i="1"/>
  <c r="AD40" i="1" s="1"/>
  <c r="I40" i="1"/>
  <c r="N40" i="1" s="1"/>
  <c r="C43" i="1" l="1"/>
  <c r="AE41" i="1"/>
  <c r="Z41" i="1"/>
  <c r="AA41" i="1" s="1"/>
  <c r="AB41" i="1" s="1"/>
  <c r="AC41" i="1" s="1"/>
  <c r="Q43" i="1"/>
  <c r="R42" i="1"/>
  <c r="Y41" i="1"/>
  <c r="AD41" i="1" s="1"/>
  <c r="S42" i="1"/>
  <c r="A42" i="1"/>
  <c r="I42" i="1" s="1"/>
  <c r="N42" i="1" s="1"/>
  <c r="B41" i="1"/>
  <c r="J41" i="1" s="1"/>
  <c r="K41" i="1" s="1"/>
  <c r="L41" i="1" s="1"/>
  <c r="M41" i="1" s="1"/>
  <c r="Z42" i="1" l="1"/>
  <c r="AA42" i="1" s="1"/>
  <c r="AB42" i="1" s="1"/>
  <c r="AC42" i="1" s="1"/>
  <c r="AE42" i="1"/>
  <c r="Y42" i="1"/>
  <c r="AD42" i="1" s="1"/>
  <c r="S43" i="1"/>
  <c r="B42" i="1"/>
  <c r="J42" i="1" s="1"/>
  <c r="K42" i="1" s="1"/>
  <c r="L42" i="1" s="1"/>
  <c r="M42" i="1" s="1"/>
  <c r="A43" i="1"/>
  <c r="R43" i="1"/>
  <c r="Q44" i="1"/>
  <c r="C44" i="1"/>
  <c r="I43" i="1"/>
  <c r="N43" i="1" s="1"/>
  <c r="R44" i="1" l="1"/>
  <c r="Q45" i="1"/>
  <c r="S44" i="1"/>
  <c r="Y43" i="1"/>
  <c r="AD43" i="1" s="1"/>
  <c r="AE43" i="1"/>
  <c r="Z43" i="1"/>
  <c r="AA43" i="1" s="1"/>
  <c r="AB43" i="1" s="1"/>
  <c r="AC43" i="1" s="1"/>
  <c r="B43" i="1"/>
  <c r="J43" i="1" s="1"/>
  <c r="K43" i="1" s="1"/>
  <c r="L43" i="1" s="1"/>
  <c r="M43" i="1" s="1"/>
  <c r="A44" i="1"/>
  <c r="C45" i="1"/>
  <c r="A45" i="1" l="1"/>
  <c r="I45" i="1" s="1"/>
  <c r="N45" i="1" s="1"/>
  <c r="B44" i="1"/>
  <c r="J44" i="1" s="1"/>
  <c r="K44" i="1" s="1"/>
  <c r="L44" i="1" s="1"/>
  <c r="M44" i="1" s="1"/>
  <c r="S45" i="1"/>
  <c r="Y44" i="1"/>
  <c r="AD44" i="1" s="1"/>
  <c r="Q46" i="1"/>
  <c r="R45" i="1"/>
  <c r="C46" i="1"/>
  <c r="I44" i="1"/>
  <c r="N44" i="1" s="1"/>
  <c r="AE44" i="1"/>
  <c r="Z44" i="1"/>
  <c r="AA44" i="1" s="1"/>
  <c r="AB44" i="1" s="1"/>
  <c r="AC44" i="1" s="1"/>
  <c r="Y45" i="1" l="1"/>
  <c r="AD45" i="1" s="1"/>
  <c r="S46" i="1"/>
  <c r="C47" i="1"/>
  <c r="I46" i="1"/>
  <c r="N46" i="1" s="1"/>
  <c r="AE45" i="1"/>
  <c r="Z45" i="1"/>
  <c r="AA45" i="1" s="1"/>
  <c r="AB45" i="1" s="1"/>
  <c r="AC45" i="1" s="1"/>
  <c r="Q47" i="1"/>
  <c r="R46" i="1"/>
  <c r="A46" i="1"/>
  <c r="B45" i="1"/>
  <c r="J45" i="1" s="1"/>
  <c r="K45" i="1" s="1"/>
  <c r="L45" i="1" s="1"/>
  <c r="M45" i="1" s="1"/>
  <c r="R47" i="1" l="1"/>
  <c r="Q48" i="1"/>
  <c r="C48" i="1"/>
  <c r="I47" i="1"/>
  <c r="N47" i="1" s="1"/>
  <c r="Z46" i="1"/>
  <c r="AA46" i="1" s="1"/>
  <c r="AB46" i="1" s="1"/>
  <c r="AC46" i="1" s="1"/>
  <c r="AE46" i="1"/>
  <c r="Y46" i="1"/>
  <c r="AD46" i="1" s="1"/>
  <c r="S47" i="1"/>
  <c r="B46" i="1"/>
  <c r="J46" i="1" s="1"/>
  <c r="K46" i="1" s="1"/>
  <c r="L46" i="1" s="1"/>
  <c r="M46" i="1" s="1"/>
  <c r="A47" i="1"/>
  <c r="C49" i="1" l="1"/>
  <c r="B47" i="1"/>
  <c r="J47" i="1" s="1"/>
  <c r="K47" i="1" s="1"/>
  <c r="L47" i="1" s="1"/>
  <c r="M47" i="1" s="1"/>
  <c r="A48" i="1"/>
  <c r="R48" i="1"/>
  <c r="Q49" i="1"/>
  <c r="S48" i="1"/>
  <c r="Y47" i="1"/>
  <c r="AD47" i="1" s="1"/>
  <c r="AE47" i="1"/>
  <c r="Z47" i="1"/>
  <c r="AA47" i="1" s="1"/>
  <c r="AB47" i="1" s="1"/>
  <c r="AC47" i="1" s="1"/>
  <c r="A49" i="1" l="1"/>
  <c r="B48" i="1"/>
  <c r="J48" i="1" s="1"/>
  <c r="K48" i="1" s="1"/>
  <c r="L48" i="1" s="1"/>
  <c r="M48" i="1" s="1"/>
  <c r="S49" i="1"/>
  <c r="Y48" i="1"/>
  <c r="AD48" i="1" s="1"/>
  <c r="Q50" i="1"/>
  <c r="R49" i="1"/>
  <c r="I49" i="1"/>
  <c r="N49" i="1" s="1"/>
  <c r="C50" i="1"/>
  <c r="AE48" i="1"/>
  <c r="Z48" i="1"/>
  <c r="AA48" i="1" s="1"/>
  <c r="AB48" i="1" s="1"/>
  <c r="AC48" i="1" s="1"/>
  <c r="I48" i="1"/>
  <c r="N48" i="1" s="1"/>
  <c r="C51" i="1" l="1"/>
  <c r="Y49" i="1"/>
  <c r="AD49" i="1" s="1"/>
  <c r="S50" i="1"/>
  <c r="AE49" i="1"/>
  <c r="Z49" i="1"/>
  <c r="AA49" i="1" s="1"/>
  <c r="AB49" i="1" s="1"/>
  <c r="AC49" i="1" s="1"/>
  <c r="Q51" i="1"/>
  <c r="R50" i="1"/>
  <c r="A50" i="1"/>
  <c r="I50" i="1" s="1"/>
  <c r="N50" i="1" s="1"/>
  <c r="B49" i="1"/>
  <c r="J49" i="1" s="1"/>
  <c r="K49" i="1" s="1"/>
  <c r="L49" i="1" s="1"/>
  <c r="M49" i="1" s="1"/>
  <c r="Z50" i="1" l="1"/>
  <c r="AA50" i="1" s="1"/>
  <c r="AB50" i="1" s="1"/>
  <c r="AC50" i="1" s="1"/>
  <c r="AE50" i="1"/>
  <c r="Y50" i="1"/>
  <c r="AD50" i="1" s="1"/>
  <c r="S51" i="1"/>
  <c r="R51" i="1"/>
  <c r="Q52" i="1"/>
  <c r="B50" i="1"/>
  <c r="J50" i="1" s="1"/>
  <c r="K50" i="1" s="1"/>
  <c r="L50" i="1" s="1"/>
  <c r="M50" i="1" s="1"/>
  <c r="A51" i="1"/>
  <c r="C52" i="1"/>
  <c r="R52" i="1" l="1"/>
  <c r="Q53" i="1"/>
  <c r="B51" i="1"/>
  <c r="J51" i="1" s="1"/>
  <c r="K51" i="1" s="1"/>
  <c r="L51" i="1" s="1"/>
  <c r="M51" i="1" s="1"/>
  <c r="A52" i="1"/>
  <c r="S52" i="1"/>
  <c r="Y51" i="1"/>
  <c r="AD51" i="1" s="1"/>
  <c r="I51" i="1"/>
  <c r="N51" i="1" s="1"/>
  <c r="I52" i="1"/>
  <c r="N52" i="1" s="1"/>
  <c r="C53" i="1"/>
  <c r="AE51" i="1"/>
  <c r="Z51" i="1"/>
  <c r="AA51" i="1" s="1"/>
  <c r="AB51" i="1" s="1"/>
  <c r="AC51" i="1" s="1"/>
  <c r="A53" i="1" l="1"/>
  <c r="B52" i="1"/>
  <c r="J52" i="1" s="1"/>
  <c r="K52" i="1" s="1"/>
  <c r="L52" i="1" s="1"/>
  <c r="M52" i="1" s="1"/>
  <c r="Q54" i="1"/>
  <c r="R53" i="1"/>
  <c r="I53" i="1"/>
  <c r="N53" i="1" s="1"/>
  <c r="C54" i="1"/>
  <c r="S53" i="1"/>
  <c r="Y52" i="1"/>
  <c r="AD52" i="1" s="1"/>
  <c r="AE52" i="1"/>
  <c r="Z52" i="1"/>
  <c r="AA52" i="1" s="1"/>
  <c r="AB52" i="1" s="1"/>
  <c r="AC52" i="1" s="1"/>
  <c r="AE53" i="1" l="1"/>
  <c r="Z53" i="1"/>
  <c r="AA53" i="1" s="1"/>
  <c r="AB53" i="1" s="1"/>
  <c r="AC53" i="1" s="1"/>
  <c r="Y53" i="1"/>
  <c r="AD53" i="1" s="1"/>
  <c r="S54" i="1"/>
  <c r="Q55" i="1"/>
  <c r="R54" i="1"/>
  <c r="C55" i="1"/>
  <c r="I54" i="1"/>
  <c r="N54" i="1" s="1"/>
  <c r="A54" i="1"/>
  <c r="B53" i="1"/>
  <c r="J53" i="1" s="1"/>
  <c r="K53" i="1" s="1"/>
  <c r="L53" i="1" s="1"/>
  <c r="M53" i="1" s="1"/>
  <c r="Y54" i="1" l="1"/>
  <c r="AD54" i="1" s="1"/>
  <c r="S55" i="1"/>
  <c r="C56" i="1"/>
  <c r="Z54" i="1"/>
  <c r="AA54" i="1" s="1"/>
  <c r="AB54" i="1" s="1"/>
  <c r="AC54" i="1" s="1"/>
  <c r="AE54" i="1"/>
  <c r="B54" i="1"/>
  <c r="J54" i="1" s="1"/>
  <c r="K54" i="1" s="1"/>
  <c r="L54" i="1" s="1"/>
  <c r="M54" i="1" s="1"/>
  <c r="A55" i="1"/>
  <c r="I55" i="1" s="1"/>
  <c r="N55" i="1" s="1"/>
  <c r="R55" i="1"/>
  <c r="Q56" i="1"/>
  <c r="C57" i="1" l="1"/>
  <c r="B55" i="1"/>
  <c r="J55" i="1" s="1"/>
  <c r="K55" i="1" s="1"/>
  <c r="L55" i="1" s="1"/>
  <c r="M55" i="1" s="1"/>
  <c r="A56" i="1"/>
  <c r="R56" i="1"/>
  <c r="Q57" i="1"/>
  <c r="S56" i="1"/>
  <c r="Y55" i="1"/>
  <c r="AD55" i="1" s="1"/>
  <c r="AE55" i="1"/>
  <c r="Z55" i="1"/>
  <c r="AA55" i="1" s="1"/>
  <c r="AB55" i="1" s="1"/>
  <c r="AC55" i="1" s="1"/>
  <c r="A57" i="1" l="1"/>
  <c r="B56" i="1"/>
  <c r="J56" i="1" s="1"/>
  <c r="K56" i="1" s="1"/>
  <c r="L56" i="1" s="1"/>
  <c r="M56" i="1" s="1"/>
  <c r="Q58" i="1"/>
  <c r="R57" i="1"/>
  <c r="I57" i="1"/>
  <c r="N57" i="1" s="1"/>
  <c r="C58" i="1"/>
  <c r="S57" i="1"/>
  <c r="Y56" i="1"/>
  <c r="AD56" i="1" s="1"/>
  <c r="AE56" i="1"/>
  <c r="Z56" i="1"/>
  <c r="AA56" i="1" s="1"/>
  <c r="AB56" i="1" s="1"/>
  <c r="AC56" i="1" s="1"/>
  <c r="I56" i="1"/>
  <c r="N56" i="1" s="1"/>
  <c r="AE57" i="1" l="1"/>
  <c r="Z57" i="1"/>
  <c r="AA57" i="1" s="1"/>
  <c r="AB57" i="1" s="1"/>
  <c r="AC57" i="1" s="1"/>
  <c r="Y57" i="1"/>
  <c r="AD57" i="1" s="1"/>
  <c r="S58" i="1"/>
  <c r="Q59" i="1"/>
  <c r="R58" i="1"/>
  <c r="C59" i="1"/>
  <c r="I58" i="1"/>
  <c r="N58" i="1" s="1"/>
  <c r="A58" i="1"/>
  <c r="B57" i="1"/>
  <c r="J57" i="1" s="1"/>
  <c r="K57" i="1" s="1"/>
  <c r="L57" i="1" s="1"/>
  <c r="M57" i="1" s="1"/>
  <c r="C60" i="1" l="1"/>
  <c r="Y58" i="1"/>
  <c r="AD58" i="1" s="1"/>
  <c r="S59" i="1"/>
  <c r="Z58" i="1"/>
  <c r="AA58" i="1" s="1"/>
  <c r="AB58" i="1" s="1"/>
  <c r="AC58" i="1" s="1"/>
  <c r="AE58" i="1"/>
  <c r="B58" i="1"/>
  <c r="J58" i="1" s="1"/>
  <c r="K58" i="1" s="1"/>
  <c r="L58" i="1" s="1"/>
  <c r="M58" i="1" s="1"/>
  <c r="A59" i="1"/>
  <c r="R59" i="1"/>
  <c r="Q60" i="1"/>
  <c r="S60" i="1" l="1"/>
  <c r="Y59" i="1"/>
  <c r="AD59" i="1" s="1"/>
  <c r="B59" i="1"/>
  <c r="J59" i="1" s="1"/>
  <c r="K59" i="1" s="1"/>
  <c r="L59" i="1" s="1"/>
  <c r="M59" i="1" s="1"/>
  <c r="A60" i="1"/>
  <c r="R60" i="1"/>
  <c r="Q61" i="1"/>
  <c r="I59" i="1"/>
  <c r="N59" i="1" s="1"/>
  <c r="AE59" i="1"/>
  <c r="Z59" i="1"/>
  <c r="AA59" i="1" s="1"/>
  <c r="AB59" i="1" s="1"/>
  <c r="AC59" i="1" s="1"/>
  <c r="C61" i="1"/>
  <c r="A61" i="1" l="1"/>
  <c r="B60" i="1"/>
  <c r="J60" i="1" s="1"/>
  <c r="K60" i="1" s="1"/>
  <c r="L60" i="1" s="1"/>
  <c r="M60" i="1" s="1"/>
  <c r="I61" i="1"/>
  <c r="N61" i="1" s="1"/>
  <c r="C62" i="1"/>
  <c r="I60" i="1"/>
  <c r="N60" i="1" s="1"/>
  <c r="Q62" i="1"/>
  <c r="R61" i="1"/>
  <c r="AE60" i="1"/>
  <c r="Z60" i="1"/>
  <c r="AA60" i="1" s="1"/>
  <c r="AB60" i="1" s="1"/>
  <c r="AC60" i="1" s="1"/>
  <c r="S61" i="1"/>
  <c r="Y60" i="1"/>
  <c r="AD60" i="1" s="1"/>
  <c r="C63" i="1" l="1"/>
  <c r="I62" i="1"/>
  <c r="N62" i="1" s="1"/>
  <c r="AE61" i="1"/>
  <c r="Z61" i="1"/>
  <c r="AA61" i="1" s="1"/>
  <c r="AB61" i="1" s="1"/>
  <c r="AC61" i="1" s="1"/>
  <c r="Y61" i="1"/>
  <c r="AD61" i="1" s="1"/>
  <c r="S62" i="1"/>
  <c r="Q63" i="1"/>
  <c r="R62" i="1"/>
  <c r="A62" i="1"/>
  <c r="B61" i="1"/>
  <c r="J61" i="1" s="1"/>
  <c r="K61" i="1" s="1"/>
  <c r="L61" i="1" s="1"/>
  <c r="M61" i="1" s="1"/>
  <c r="Z62" i="1" l="1"/>
  <c r="AA62" i="1" s="1"/>
  <c r="AB62" i="1" s="1"/>
  <c r="AC62" i="1" s="1"/>
  <c r="AE62" i="1"/>
  <c r="R63" i="1"/>
  <c r="Q64" i="1"/>
  <c r="Y62" i="1"/>
  <c r="AD62" i="1" s="1"/>
  <c r="S63" i="1"/>
  <c r="B62" i="1"/>
  <c r="J62" i="1" s="1"/>
  <c r="K62" i="1" s="1"/>
  <c r="L62" i="1" s="1"/>
  <c r="M62" i="1" s="1"/>
  <c r="A63" i="1"/>
  <c r="C64" i="1"/>
  <c r="B63" i="1" l="1"/>
  <c r="J63" i="1" s="1"/>
  <c r="K63" i="1" s="1"/>
  <c r="L63" i="1" s="1"/>
  <c r="M63" i="1" s="1"/>
  <c r="A64" i="1"/>
  <c r="AE63" i="1"/>
  <c r="Z63" i="1"/>
  <c r="AA63" i="1" s="1"/>
  <c r="AB63" i="1" s="1"/>
  <c r="AC63" i="1" s="1"/>
  <c r="I63" i="1"/>
  <c r="N63" i="1" s="1"/>
  <c r="S64" i="1"/>
  <c r="Y63" i="1"/>
  <c r="AD63" i="1" s="1"/>
  <c r="R64" i="1"/>
  <c r="Q65" i="1"/>
  <c r="I64" i="1"/>
  <c r="N64" i="1" s="1"/>
  <c r="C65" i="1"/>
  <c r="C66" i="1" l="1"/>
  <c r="S65" i="1"/>
  <c r="Y64" i="1"/>
  <c r="AD64" i="1" s="1"/>
  <c r="A65" i="1"/>
  <c r="B64" i="1"/>
  <c r="J64" i="1" s="1"/>
  <c r="K64" i="1" s="1"/>
  <c r="L64" i="1" s="1"/>
  <c r="M64" i="1" s="1"/>
  <c r="AE64" i="1"/>
  <c r="Z64" i="1"/>
  <c r="AA64" i="1" s="1"/>
  <c r="AB64" i="1" s="1"/>
  <c r="AC64" i="1" s="1"/>
  <c r="Q66" i="1"/>
  <c r="R65" i="1"/>
  <c r="Y65" i="1" l="1"/>
  <c r="AD65" i="1" s="1"/>
  <c r="S66" i="1"/>
  <c r="AE65" i="1"/>
  <c r="Z65" i="1"/>
  <c r="AA65" i="1" s="1"/>
  <c r="AB65" i="1" s="1"/>
  <c r="AC65" i="1" s="1"/>
  <c r="C67" i="1"/>
  <c r="Q67" i="1"/>
  <c r="R66" i="1"/>
  <c r="A66" i="1"/>
  <c r="B65" i="1"/>
  <c r="J65" i="1" s="1"/>
  <c r="K65" i="1" s="1"/>
  <c r="L65" i="1" s="1"/>
  <c r="M65" i="1" s="1"/>
  <c r="I65" i="1"/>
  <c r="N65" i="1" s="1"/>
  <c r="B66" i="1" l="1"/>
  <c r="J66" i="1" s="1"/>
  <c r="K66" i="1" s="1"/>
  <c r="L66" i="1" s="1"/>
  <c r="M66" i="1" s="1"/>
  <c r="A67" i="1"/>
  <c r="Z66" i="1"/>
  <c r="AA66" i="1" s="1"/>
  <c r="AB66" i="1" s="1"/>
  <c r="AC66" i="1" s="1"/>
  <c r="AE66" i="1"/>
  <c r="Q68" i="1"/>
  <c r="R67" i="1"/>
  <c r="I66" i="1"/>
  <c r="N66" i="1" s="1"/>
  <c r="Y66" i="1"/>
  <c r="AD66" i="1" s="1"/>
  <c r="S67" i="1"/>
  <c r="C68" i="1"/>
  <c r="I67" i="1"/>
  <c r="N67" i="1" s="1"/>
  <c r="C69" i="1" l="1"/>
  <c r="AE67" i="1"/>
  <c r="Z67" i="1"/>
  <c r="AA67" i="1" s="1"/>
  <c r="AB67" i="1" s="1"/>
  <c r="AC67" i="1" s="1"/>
  <c r="B67" i="1"/>
  <c r="J67" i="1" s="1"/>
  <c r="K67" i="1" s="1"/>
  <c r="L67" i="1" s="1"/>
  <c r="M67" i="1" s="1"/>
  <c r="A68" i="1"/>
  <c r="S68" i="1"/>
  <c r="Y67" i="1"/>
  <c r="AD67" i="1" s="1"/>
  <c r="Q69" i="1"/>
  <c r="R68" i="1"/>
  <c r="Y68" i="1" l="1"/>
  <c r="AD68" i="1" s="1"/>
  <c r="S69" i="1"/>
  <c r="Z68" i="1"/>
  <c r="AA68" i="1" s="1"/>
  <c r="AB68" i="1" s="1"/>
  <c r="AC68" i="1" s="1"/>
  <c r="AE68" i="1"/>
  <c r="A69" i="1"/>
  <c r="B68" i="1"/>
  <c r="J68" i="1" s="1"/>
  <c r="K68" i="1" s="1"/>
  <c r="L68" i="1" s="1"/>
  <c r="M68" i="1" s="1"/>
  <c r="I68" i="1"/>
  <c r="N68" i="1" s="1"/>
  <c r="R69" i="1"/>
  <c r="Q70" i="1"/>
  <c r="C70" i="1"/>
  <c r="I69" i="1"/>
  <c r="N69" i="1" s="1"/>
  <c r="C71" i="1" l="1"/>
  <c r="S70" i="1"/>
  <c r="Y69" i="1"/>
  <c r="AD69" i="1" s="1"/>
  <c r="AE69" i="1"/>
  <c r="Z69" i="1"/>
  <c r="AA69" i="1" s="1"/>
  <c r="AB69" i="1" s="1"/>
  <c r="AC69" i="1" s="1"/>
  <c r="R70" i="1"/>
  <c r="Q71" i="1"/>
  <c r="B69" i="1"/>
  <c r="J69" i="1" s="1"/>
  <c r="K69" i="1" s="1"/>
  <c r="L69" i="1" s="1"/>
  <c r="M69" i="1" s="1"/>
  <c r="A70" i="1"/>
  <c r="Q72" i="1" l="1"/>
  <c r="R71" i="1"/>
  <c r="AE70" i="1"/>
  <c r="Z70" i="1"/>
  <c r="AA70" i="1" s="1"/>
  <c r="AB70" i="1" s="1"/>
  <c r="AC70" i="1" s="1"/>
  <c r="S71" i="1"/>
  <c r="Y70" i="1"/>
  <c r="AD70" i="1" s="1"/>
  <c r="A71" i="1"/>
  <c r="B70" i="1"/>
  <c r="J70" i="1" s="1"/>
  <c r="K70" i="1" s="1"/>
  <c r="L70" i="1" s="1"/>
  <c r="M70" i="1" s="1"/>
  <c r="C72" i="1"/>
  <c r="I70" i="1"/>
  <c r="N70" i="1" s="1"/>
  <c r="A72" i="1" l="1"/>
  <c r="B71" i="1"/>
  <c r="J71" i="1" s="1"/>
  <c r="K71" i="1" s="1"/>
  <c r="L71" i="1" s="1"/>
  <c r="M71" i="1" s="1"/>
  <c r="I71" i="1"/>
  <c r="N71" i="1" s="1"/>
  <c r="Z71" i="1"/>
  <c r="AA71" i="1" s="1"/>
  <c r="AB71" i="1" s="1"/>
  <c r="AC71" i="1" s="1"/>
  <c r="AE71" i="1"/>
  <c r="C73" i="1"/>
  <c r="I72" i="1"/>
  <c r="N72" i="1" s="1"/>
  <c r="Y71" i="1"/>
  <c r="AD71" i="1" s="1"/>
  <c r="S72" i="1"/>
  <c r="R72" i="1"/>
  <c r="Q73" i="1"/>
  <c r="R73" i="1" l="1"/>
  <c r="Q74" i="1"/>
  <c r="AE72" i="1"/>
  <c r="Z72" i="1"/>
  <c r="AA72" i="1" s="1"/>
  <c r="AB72" i="1" s="1"/>
  <c r="AC72" i="1" s="1"/>
  <c r="I73" i="1"/>
  <c r="N73" i="1" s="1"/>
  <c r="C74" i="1"/>
  <c r="S73" i="1"/>
  <c r="Y72" i="1"/>
  <c r="AD72" i="1" s="1"/>
  <c r="B72" i="1"/>
  <c r="J72" i="1" s="1"/>
  <c r="K72" i="1" s="1"/>
  <c r="L72" i="1" s="1"/>
  <c r="M72" i="1" s="1"/>
  <c r="A73" i="1"/>
  <c r="S74" i="1" l="1"/>
  <c r="Y73" i="1"/>
  <c r="AD73" i="1" s="1"/>
  <c r="A74" i="1"/>
  <c r="B73" i="1"/>
  <c r="J73" i="1" s="1"/>
  <c r="K73" i="1" s="1"/>
  <c r="L73" i="1" s="1"/>
  <c r="M73" i="1" s="1"/>
  <c r="C75" i="1"/>
  <c r="Q75" i="1"/>
  <c r="R74" i="1"/>
  <c r="AE73" i="1"/>
  <c r="Z73" i="1"/>
  <c r="AA73" i="1" s="1"/>
  <c r="AB73" i="1" s="1"/>
  <c r="AC73" i="1" s="1"/>
  <c r="AE74" i="1" l="1"/>
  <c r="Z74" i="1"/>
  <c r="AA74" i="1" s="1"/>
  <c r="AB74" i="1" s="1"/>
  <c r="AC74" i="1" s="1"/>
  <c r="Q76" i="1"/>
  <c r="R75" i="1"/>
  <c r="A75" i="1"/>
  <c r="B74" i="1"/>
  <c r="J74" i="1" s="1"/>
  <c r="K74" i="1" s="1"/>
  <c r="L74" i="1" s="1"/>
  <c r="M74" i="1" s="1"/>
  <c r="C76" i="1"/>
  <c r="I75" i="1"/>
  <c r="N75" i="1" s="1"/>
  <c r="I74" i="1"/>
  <c r="N74" i="1" s="1"/>
  <c r="Y74" i="1"/>
  <c r="AD74" i="1" s="1"/>
  <c r="S75" i="1"/>
  <c r="Z75" i="1" l="1"/>
  <c r="AA75" i="1" s="1"/>
  <c r="AB75" i="1" s="1"/>
  <c r="AC75" i="1" s="1"/>
  <c r="AE75" i="1"/>
  <c r="Y75" i="1"/>
  <c r="AD75" i="1" s="1"/>
  <c r="S76" i="1"/>
  <c r="C77" i="1"/>
  <c r="R76" i="1"/>
  <c r="Q77" i="1"/>
  <c r="B75" i="1"/>
  <c r="J75" i="1" s="1"/>
  <c r="K75" i="1" s="1"/>
  <c r="L75" i="1" s="1"/>
  <c r="M75" i="1" s="1"/>
  <c r="A76" i="1"/>
  <c r="I76" i="1" s="1"/>
  <c r="N76" i="1" s="1"/>
  <c r="R77" i="1" l="1"/>
  <c r="Q78" i="1"/>
  <c r="S77" i="1"/>
  <c r="Y76" i="1"/>
  <c r="AD76" i="1" s="1"/>
  <c r="AE76" i="1"/>
  <c r="Z76" i="1"/>
  <c r="AA76" i="1" s="1"/>
  <c r="AB76" i="1" s="1"/>
  <c r="AC76" i="1" s="1"/>
  <c r="B76" i="1"/>
  <c r="J76" i="1" s="1"/>
  <c r="K76" i="1" s="1"/>
  <c r="L76" i="1" s="1"/>
  <c r="M76" i="1" s="1"/>
  <c r="A77" i="1"/>
  <c r="C78" i="1"/>
  <c r="A78" i="1" l="1"/>
  <c r="B77" i="1"/>
  <c r="J77" i="1" s="1"/>
  <c r="K77" i="1" s="1"/>
  <c r="L77" i="1" s="1"/>
  <c r="M77" i="1" s="1"/>
  <c r="S78" i="1"/>
  <c r="Y77" i="1"/>
  <c r="AD77" i="1" s="1"/>
  <c r="Q79" i="1"/>
  <c r="R78" i="1"/>
  <c r="I78" i="1"/>
  <c r="N78" i="1" s="1"/>
  <c r="C79" i="1"/>
  <c r="I77" i="1"/>
  <c r="N77" i="1" s="1"/>
  <c r="AE77" i="1"/>
  <c r="Z77" i="1"/>
  <c r="AA77" i="1" s="1"/>
  <c r="AB77" i="1" s="1"/>
  <c r="AC77" i="1" s="1"/>
  <c r="C80" i="1" l="1"/>
  <c r="I79" i="1"/>
  <c r="N79" i="1" s="1"/>
  <c r="Y78" i="1"/>
  <c r="AD78" i="1" s="1"/>
  <c r="S79" i="1"/>
  <c r="AE78" i="1"/>
  <c r="Z78" i="1"/>
  <c r="AA78" i="1" s="1"/>
  <c r="AB78" i="1" s="1"/>
  <c r="AC78" i="1" s="1"/>
  <c r="Q80" i="1"/>
  <c r="R79" i="1"/>
  <c r="A79" i="1"/>
  <c r="B78" i="1"/>
  <c r="J78" i="1" s="1"/>
  <c r="K78" i="1" s="1"/>
  <c r="L78" i="1" s="1"/>
  <c r="M78" i="1" s="1"/>
  <c r="Z79" i="1" l="1"/>
  <c r="AA79" i="1" s="1"/>
  <c r="AB79" i="1" s="1"/>
  <c r="AC79" i="1" s="1"/>
  <c r="AE79" i="1"/>
  <c r="R80" i="1"/>
  <c r="Q81" i="1"/>
  <c r="Y79" i="1"/>
  <c r="AD79" i="1" s="1"/>
  <c r="S80" i="1"/>
  <c r="B79" i="1"/>
  <c r="J79" i="1" s="1"/>
  <c r="K79" i="1" s="1"/>
  <c r="L79" i="1" s="1"/>
  <c r="M79" i="1" s="1"/>
  <c r="A80" i="1"/>
  <c r="C81" i="1"/>
  <c r="R81" i="1" l="1"/>
  <c r="Q82" i="1"/>
  <c r="AE80" i="1"/>
  <c r="Z80" i="1"/>
  <c r="AA80" i="1" s="1"/>
  <c r="AB80" i="1" s="1"/>
  <c r="AC80" i="1" s="1"/>
  <c r="C82" i="1"/>
  <c r="B80" i="1"/>
  <c r="J80" i="1" s="1"/>
  <c r="K80" i="1" s="1"/>
  <c r="L80" i="1" s="1"/>
  <c r="M80" i="1" s="1"/>
  <c r="A81" i="1"/>
  <c r="I80" i="1"/>
  <c r="N80" i="1" s="1"/>
  <c r="S81" i="1"/>
  <c r="Y80" i="1"/>
  <c r="AD80" i="1" s="1"/>
  <c r="S82" i="1" l="1"/>
  <c r="Y81" i="1"/>
  <c r="AD81" i="1" s="1"/>
  <c r="C83" i="1"/>
  <c r="Q83" i="1"/>
  <c r="R82" i="1"/>
  <c r="A82" i="1"/>
  <c r="B81" i="1"/>
  <c r="J81" i="1" s="1"/>
  <c r="K81" i="1" s="1"/>
  <c r="L81" i="1" s="1"/>
  <c r="M81" i="1" s="1"/>
  <c r="I81" i="1"/>
  <c r="N81" i="1" s="1"/>
  <c r="AE81" i="1"/>
  <c r="Z81" i="1"/>
  <c r="AA81" i="1" s="1"/>
  <c r="AB81" i="1" s="1"/>
  <c r="AC81" i="1" s="1"/>
  <c r="C84" i="1" l="1"/>
  <c r="I83" i="1"/>
  <c r="N83" i="1" s="1"/>
  <c r="A83" i="1"/>
  <c r="B82" i="1"/>
  <c r="J82" i="1" s="1"/>
  <c r="K82" i="1" s="1"/>
  <c r="L82" i="1" s="1"/>
  <c r="M82" i="1" s="1"/>
  <c r="I82" i="1"/>
  <c r="N82" i="1" s="1"/>
  <c r="AE82" i="1"/>
  <c r="Z82" i="1"/>
  <c r="AA82" i="1" s="1"/>
  <c r="AB82" i="1" s="1"/>
  <c r="AC82" i="1" s="1"/>
  <c r="Q84" i="1"/>
  <c r="R83" i="1"/>
  <c r="Y82" i="1"/>
  <c r="AD82" i="1" s="1"/>
  <c r="S83" i="1"/>
  <c r="Y83" i="1" l="1"/>
  <c r="AD83" i="1" s="1"/>
  <c r="S84" i="1"/>
  <c r="B83" i="1"/>
  <c r="J83" i="1" s="1"/>
  <c r="K83" i="1" s="1"/>
  <c r="L83" i="1" s="1"/>
  <c r="M83" i="1" s="1"/>
  <c r="A84" i="1"/>
  <c r="R84" i="1"/>
  <c r="Q85" i="1"/>
  <c r="Z83" i="1"/>
  <c r="AA83" i="1" s="1"/>
  <c r="AB83" i="1" s="1"/>
  <c r="AC83" i="1" s="1"/>
  <c r="AE83" i="1"/>
  <c r="C85" i="1"/>
  <c r="B84" i="1" l="1"/>
  <c r="J84" i="1" s="1"/>
  <c r="K84" i="1" s="1"/>
  <c r="L84" i="1" s="1"/>
  <c r="M84" i="1" s="1"/>
  <c r="A85" i="1"/>
  <c r="I84" i="1"/>
  <c r="N84" i="1" s="1"/>
  <c r="R85" i="1"/>
  <c r="Q86" i="1"/>
  <c r="S85" i="1"/>
  <c r="Y84" i="1"/>
  <c r="AD84" i="1" s="1"/>
  <c r="I85" i="1"/>
  <c r="N85" i="1" s="1"/>
  <c r="C86" i="1"/>
  <c r="AE84" i="1"/>
  <c r="Z84" i="1"/>
  <c r="AA84" i="1" s="1"/>
  <c r="AB84" i="1" s="1"/>
  <c r="AC84" i="1" s="1"/>
  <c r="S86" i="1" l="1"/>
  <c r="Y85" i="1"/>
  <c r="AD85" i="1" s="1"/>
  <c r="A86" i="1"/>
  <c r="B85" i="1"/>
  <c r="J85" i="1" s="1"/>
  <c r="K85" i="1" s="1"/>
  <c r="L85" i="1" s="1"/>
  <c r="M85" i="1" s="1"/>
  <c r="AE85" i="1"/>
  <c r="Z85" i="1"/>
  <c r="AA85" i="1" s="1"/>
  <c r="AB85" i="1" s="1"/>
  <c r="AC85" i="1" s="1"/>
  <c r="I86" i="1"/>
  <c r="N86" i="1" s="1"/>
  <c r="C87" i="1"/>
  <c r="Q87" i="1"/>
  <c r="R86" i="1"/>
  <c r="A87" i="1" l="1"/>
  <c r="B86" i="1"/>
  <c r="J86" i="1" s="1"/>
  <c r="K86" i="1" s="1"/>
  <c r="L86" i="1" s="1"/>
  <c r="M86" i="1" s="1"/>
  <c r="C88" i="1"/>
  <c r="I87" i="1"/>
  <c r="N87" i="1" s="1"/>
  <c r="AE86" i="1"/>
  <c r="Z86" i="1"/>
  <c r="AA86" i="1" s="1"/>
  <c r="AB86" i="1" s="1"/>
  <c r="AC86" i="1" s="1"/>
  <c r="Q88" i="1"/>
  <c r="R87" i="1"/>
  <c r="Y86" i="1"/>
  <c r="AD86" i="1" s="1"/>
  <c r="S87" i="1"/>
  <c r="R88" i="1" l="1"/>
  <c r="Q89" i="1"/>
  <c r="C89" i="1"/>
  <c r="I88" i="1"/>
  <c r="N88" i="1" s="1"/>
  <c r="Y87" i="1"/>
  <c r="AD87" i="1" s="1"/>
  <c r="S88" i="1"/>
  <c r="Z87" i="1"/>
  <c r="AA87" i="1" s="1"/>
  <c r="AB87" i="1" s="1"/>
  <c r="AC87" i="1" s="1"/>
  <c r="AE87" i="1"/>
  <c r="B87" i="1"/>
  <c r="J87" i="1" s="1"/>
  <c r="K87" i="1" s="1"/>
  <c r="L87" i="1" s="1"/>
  <c r="M87" i="1" s="1"/>
  <c r="A88" i="1"/>
  <c r="C90" i="1" l="1"/>
  <c r="B88" i="1"/>
  <c r="J88" i="1" s="1"/>
  <c r="K88" i="1" s="1"/>
  <c r="L88" i="1" s="1"/>
  <c r="M88" i="1" s="1"/>
  <c r="A89" i="1"/>
  <c r="S89" i="1"/>
  <c r="Y88" i="1"/>
  <c r="AD88" i="1" s="1"/>
  <c r="R89" i="1"/>
  <c r="Q90" i="1"/>
  <c r="AE88" i="1"/>
  <c r="Z88" i="1"/>
  <c r="AA88" i="1" s="1"/>
  <c r="AB88" i="1" s="1"/>
  <c r="AC88" i="1" s="1"/>
  <c r="A90" i="1" l="1"/>
  <c r="B89" i="1"/>
  <c r="J89" i="1" s="1"/>
  <c r="K89" i="1" s="1"/>
  <c r="L89" i="1" s="1"/>
  <c r="M89" i="1" s="1"/>
  <c r="AE89" i="1"/>
  <c r="Z89" i="1"/>
  <c r="AA89" i="1" s="1"/>
  <c r="AB89" i="1" s="1"/>
  <c r="AC89" i="1" s="1"/>
  <c r="I90" i="1"/>
  <c r="N90" i="1" s="1"/>
  <c r="C91" i="1"/>
  <c r="Q91" i="1"/>
  <c r="R90" i="1"/>
  <c r="S90" i="1"/>
  <c r="Y89" i="1"/>
  <c r="AD89" i="1" s="1"/>
  <c r="I89" i="1"/>
  <c r="N89" i="1" s="1"/>
  <c r="Q92" i="1" l="1"/>
  <c r="R91" i="1"/>
  <c r="C92" i="1"/>
  <c r="I91" i="1"/>
  <c r="N91" i="1" s="1"/>
  <c r="AE90" i="1"/>
  <c r="Z90" i="1"/>
  <c r="AA90" i="1" s="1"/>
  <c r="AB90" i="1" s="1"/>
  <c r="AC90" i="1" s="1"/>
  <c r="Y90" i="1"/>
  <c r="AD90" i="1" s="1"/>
  <c r="S91" i="1"/>
  <c r="A91" i="1"/>
  <c r="B90" i="1"/>
  <c r="J90" i="1" s="1"/>
  <c r="K90" i="1" s="1"/>
  <c r="L90" i="1" s="1"/>
  <c r="M90" i="1" s="1"/>
  <c r="C93" i="1" l="1"/>
  <c r="Z91" i="1"/>
  <c r="AA91" i="1" s="1"/>
  <c r="AB91" i="1" s="1"/>
  <c r="AC91" i="1" s="1"/>
  <c r="AE91" i="1"/>
  <c r="Y91" i="1"/>
  <c r="AD91" i="1" s="1"/>
  <c r="S92" i="1"/>
  <c r="B91" i="1"/>
  <c r="J91" i="1" s="1"/>
  <c r="K91" i="1" s="1"/>
  <c r="L91" i="1" s="1"/>
  <c r="M91" i="1" s="1"/>
  <c r="A92" i="1"/>
  <c r="I92" i="1" s="1"/>
  <c r="N92" i="1" s="1"/>
  <c r="R92" i="1"/>
  <c r="Q93" i="1"/>
  <c r="R93" i="1" l="1"/>
  <c r="Q94" i="1"/>
  <c r="S93" i="1"/>
  <c r="Y92" i="1"/>
  <c r="AD92" i="1" s="1"/>
  <c r="B92" i="1"/>
  <c r="J92" i="1" s="1"/>
  <c r="K92" i="1" s="1"/>
  <c r="L92" i="1" s="1"/>
  <c r="M92" i="1" s="1"/>
  <c r="A93" i="1"/>
  <c r="AE92" i="1"/>
  <c r="Z92" i="1"/>
  <c r="AA92" i="1" s="1"/>
  <c r="AB92" i="1" s="1"/>
  <c r="AC92" i="1" s="1"/>
  <c r="I93" i="1"/>
  <c r="N93" i="1" s="1"/>
  <c r="C94" i="1"/>
  <c r="S94" i="1" l="1"/>
  <c r="Y93" i="1"/>
  <c r="AD93" i="1" s="1"/>
  <c r="I94" i="1"/>
  <c r="N94" i="1" s="1"/>
  <c r="C95" i="1"/>
  <c r="A94" i="1"/>
  <c r="B93" i="1"/>
  <c r="J93" i="1" s="1"/>
  <c r="K93" i="1" s="1"/>
  <c r="L93" i="1" s="1"/>
  <c r="M93" i="1" s="1"/>
  <c r="Q95" i="1"/>
  <c r="R94" i="1"/>
  <c r="AE93" i="1"/>
  <c r="Z93" i="1"/>
  <c r="AA93" i="1" s="1"/>
  <c r="AB93" i="1" s="1"/>
  <c r="AC93" i="1" s="1"/>
  <c r="AE94" i="1" l="1"/>
  <c r="Z94" i="1"/>
  <c r="AA94" i="1" s="1"/>
  <c r="AB94" i="1" s="1"/>
  <c r="AC94" i="1" s="1"/>
  <c r="C96" i="1"/>
  <c r="I95" i="1"/>
  <c r="N95" i="1" s="1"/>
  <c r="Q96" i="1"/>
  <c r="R95" i="1"/>
  <c r="A95" i="1"/>
  <c r="B94" i="1"/>
  <c r="J94" i="1" s="1"/>
  <c r="K94" i="1" s="1"/>
  <c r="L94" i="1" s="1"/>
  <c r="M94" i="1" s="1"/>
  <c r="Y94" i="1"/>
  <c r="AD94" i="1" s="1"/>
  <c r="S95" i="1"/>
  <c r="B95" i="1" l="1"/>
  <c r="J95" i="1" s="1"/>
  <c r="K95" i="1" s="1"/>
  <c r="L95" i="1" s="1"/>
  <c r="M95" i="1" s="1"/>
  <c r="A96" i="1"/>
  <c r="C97" i="1"/>
  <c r="I96" i="1"/>
  <c r="N96" i="1" s="1"/>
  <c r="Y95" i="1"/>
  <c r="AD95" i="1" s="1"/>
  <c r="S96" i="1"/>
  <c r="Z95" i="1"/>
  <c r="AA95" i="1" s="1"/>
  <c r="AB95" i="1" s="1"/>
  <c r="AC95" i="1" s="1"/>
  <c r="AE95" i="1"/>
  <c r="R96" i="1"/>
  <c r="Q97" i="1"/>
  <c r="C98" i="1" l="1"/>
  <c r="R97" i="1"/>
  <c r="Q98" i="1"/>
  <c r="S97" i="1"/>
  <c r="Y96" i="1"/>
  <c r="AD96" i="1" s="1"/>
  <c r="B96" i="1"/>
  <c r="J96" i="1" s="1"/>
  <c r="K96" i="1" s="1"/>
  <c r="L96" i="1" s="1"/>
  <c r="M96" i="1" s="1"/>
  <c r="A97" i="1"/>
  <c r="AE96" i="1"/>
  <c r="Z96" i="1"/>
  <c r="AA96" i="1" s="1"/>
  <c r="AB96" i="1" s="1"/>
  <c r="AC96" i="1" s="1"/>
  <c r="A98" i="1" l="1"/>
  <c r="B97" i="1"/>
  <c r="J97" i="1" s="1"/>
  <c r="K97" i="1" s="1"/>
  <c r="L97" i="1" s="1"/>
  <c r="M97" i="1" s="1"/>
  <c r="Q99" i="1"/>
  <c r="R98" i="1"/>
  <c r="AE97" i="1"/>
  <c r="Z97" i="1"/>
  <c r="AA97" i="1" s="1"/>
  <c r="AB97" i="1" s="1"/>
  <c r="AC97" i="1" s="1"/>
  <c r="I98" i="1"/>
  <c r="N98" i="1" s="1"/>
  <c r="C99" i="1"/>
  <c r="S98" i="1"/>
  <c r="Y97" i="1"/>
  <c r="AD97" i="1" s="1"/>
  <c r="I97" i="1"/>
  <c r="N97" i="1" s="1"/>
  <c r="C100" i="1" l="1"/>
  <c r="I99" i="1"/>
  <c r="N99" i="1" s="1"/>
  <c r="Q100" i="1"/>
  <c r="R99" i="1"/>
  <c r="AE98" i="1"/>
  <c r="Z98" i="1"/>
  <c r="AA98" i="1" s="1"/>
  <c r="AB98" i="1" s="1"/>
  <c r="AC98" i="1" s="1"/>
  <c r="Y98" i="1"/>
  <c r="AD98" i="1" s="1"/>
  <c r="S99" i="1"/>
  <c r="A99" i="1"/>
  <c r="B98" i="1"/>
  <c r="J98" i="1" s="1"/>
  <c r="K98" i="1" s="1"/>
  <c r="L98" i="1" s="1"/>
  <c r="M98" i="1" s="1"/>
  <c r="Y99" i="1" l="1"/>
  <c r="AD99" i="1" s="1"/>
  <c r="S100" i="1"/>
  <c r="Z99" i="1"/>
  <c r="AA99" i="1" s="1"/>
  <c r="AB99" i="1" s="1"/>
  <c r="AC99" i="1" s="1"/>
  <c r="AE99" i="1"/>
  <c r="R100" i="1"/>
  <c r="Q101" i="1"/>
  <c r="B99" i="1"/>
  <c r="J99" i="1" s="1"/>
  <c r="K99" i="1" s="1"/>
  <c r="L99" i="1" s="1"/>
  <c r="M99" i="1" s="1"/>
  <c r="A100" i="1"/>
  <c r="C101" i="1"/>
  <c r="B100" i="1" l="1"/>
  <c r="J100" i="1" s="1"/>
  <c r="K100" i="1" s="1"/>
  <c r="L100" i="1" s="1"/>
  <c r="M100" i="1" s="1"/>
  <c r="A101" i="1"/>
  <c r="I100" i="1"/>
  <c r="N100" i="1" s="1"/>
  <c r="R101" i="1"/>
  <c r="Q102" i="1"/>
  <c r="S101" i="1"/>
  <c r="Y100" i="1"/>
  <c r="AD100" i="1" s="1"/>
  <c r="I101" i="1"/>
  <c r="N101" i="1" s="1"/>
  <c r="C102" i="1"/>
  <c r="AE100" i="1"/>
  <c r="Z100" i="1"/>
  <c r="AA100" i="1" s="1"/>
  <c r="AB100" i="1" s="1"/>
  <c r="AC100" i="1" s="1"/>
  <c r="AE101" i="1" l="1"/>
  <c r="Z101" i="1"/>
  <c r="AA101" i="1" s="1"/>
  <c r="AB101" i="1" s="1"/>
  <c r="AC101" i="1" s="1"/>
  <c r="S102" i="1"/>
  <c r="Y101" i="1"/>
  <c r="AD101" i="1" s="1"/>
  <c r="A102" i="1"/>
  <c r="B101" i="1"/>
  <c r="J101" i="1" s="1"/>
  <c r="K101" i="1" s="1"/>
  <c r="L101" i="1" s="1"/>
  <c r="M101" i="1" s="1"/>
  <c r="I102" i="1"/>
  <c r="N102" i="1" s="1"/>
  <c r="C103" i="1"/>
  <c r="Q103" i="1"/>
  <c r="R102" i="1"/>
  <c r="C104" i="1" l="1"/>
  <c r="I103" i="1"/>
  <c r="N103" i="1" s="1"/>
  <c r="Y102" i="1"/>
  <c r="AD102" i="1" s="1"/>
  <c r="S103" i="1"/>
  <c r="AE102" i="1"/>
  <c r="Z102" i="1"/>
  <c r="AA102" i="1" s="1"/>
  <c r="AB102" i="1" s="1"/>
  <c r="AC102" i="1" s="1"/>
  <c r="Q104" i="1"/>
  <c r="R103" i="1"/>
  <c r="A103" i="1"/>
  <c r="B102" i="1"/>
  <c r="J102" i="1" s="1"/>
  <c r="K102" i="1" s="1"/>
  <c r="L102" i="1" s="1"/>
  <c r="M102" i="1" s="1"/>
  <c r="R104" i="1" l="1"/>
  <c r="Q105" i="1"/>
  <c r="Z103" i="1"/>
  <c r="AA103" i="1" s="1"/>
  <c r="AB103" i="1" s="1"/>
  <c r="AC103" i="1" s="1"/>
  <c r="AE103" i="1"/>
  <c r="Y103" i="1"/>
  <c r="AD103" i="1" s="1"/>
  <c r="S104" i="1"/>
  <c r="B103" i="1"/>
  <c r="J103" i="1" s="1"/>
  <c r="K103" i="1" s="1"/>
  <c r="L103" i="1" s="1"/>
  <c r="M103" i="1" s="1"/>
  <c r="A104" i="1"/>
  <c r="C105" i="1"/>
  <c r="I104" i="1"/>
  <c r="N104" i="1" s="1"/>
  <c r="C106" i="1" l="1"/>
  <c r="B104" i="1"/>
  <c r="J104" i="1" s="1"/>
  <c r="K104" i="1" s="1"/>
  <c r="L104" i="1" s="1"/>
  <c r="M104" i="1" s="1"/>
  <c r="A105" i="1"/>
  <c r="S105" i="1"/>
  <c r="Y104" i="1"/>
  <c r="AD104" i="1" s="1"/>
  <c r="R105" i="1"/>
  <c r="Q106" i="1"/>
  <c r="AE104" i="1"/>
  <c r="Z104" i="1"/>
  <c r="AA104" i="1" s="1"/>
  <c r="AB104" i="1" s="1"/>
  <c r="AC104" i="1" s="1"/>
  <c r="AE105" i="1" l="1"/>
  <c r="Z105" i="1"/>
  <c r="AA105" i="1" s="1"/>
  <c r="AB105" i="1" s="1"/>
  <c r="AC105" i="1" s="1"/>
  <c r="Q107" i="1"/>
  <c r="R106" i="1"/>
  <c r="A106" i="1"/>
  <c r="B105" i="1"/>
  <c r="J105" i="1" s="1"/>
  <c r="K105" i="1" s="1"/>
  <c r="L105" i="1" s="1"/>
  <c r="M105" i="1" s="1"/>
  <c r="I106" i="1"/>
  <c r="N106" i="1" s="1"/>
  <c r="C107" i="1"/>
  <c r="S106" i="1"/>
  <c r="Y105" i="1"/>
  <c r="AD105" i="1" s="1"/>
  <c r="I105" i="1"/>
  <c r="N105" i="1" s="1"/>
  <c r="C108" i="1" l="1"/>
  <c r="I107" i="1"/>
  <c r="N107" i="1" s="1"/>
  <c r="AE106" i="1"/>
  <c r="Z106" i="1"/>
  <c r="AA106" i="1" s="1"/>
  <c r="AB106" i="1" s="1"/>
  <c r="AC106" i="1" s="1"/>
  <c r="Q108" i="1"/>
  <c r="R107" i="1"/>
  <c r="Y106" i="1"/>
  <c r="AD106" i="1" s="1"/>
  <c r="S107" i="1"/>
  <c r="A107" i="1"/>
  <c r="B106" i="1"/>
  <c r="J106" i="1" s="1"/>
  <c r="K106" i="1" s="1"/>
  <c r="L106" i="1" s="1"/>
  <c r="M106" i="1" s="1"/>
  <c r="Y107" i="1" l="1"/>
  <c r="AD107" i="1" s="1"/>
  <c r="S108" i="1"/>
  <c r="Z107" i="1"/>
  <c r="AA107" i="1" s="1"/>
  <c r="AB107" i="1" s="1"/>
  <c r="AC107" i="1" s="1"/>
  <c r="AE107" i="1"/>
  <c r="B107" i="1"/>
  <c r="J107" i="1" s="1"/>
  <c r="K107" i="1" s="1"/>
  <c r="L107" i="1" s="1"/>
  <c r="M107" i="1" s="1"/>
  <c r="A108" i="1"/>
  <c r="R108" i="1"/>
  <c r="Q109" i="1"/>
  <c r="C109" i="1"/>
  <c r="I108" i="1"/>
  <c r="N108" i="1" s="1"/>
  <c r="AE108" i="1" l="1"/>
  <c r="Z108" i="1"/>
  <c r="AA108" i="1" s="1"/>
  <c r="AB108" i="1" s="1"/>
  <c r="AC108" i="1" s="1"/>
  <c r="R109" i="1"/>
  <c r="Q110" i="1"/>
  <c r="B108" i="1"/>
  <c r="J108" i="1" s="1"/>
  <c r="K108" i="1" s="1"/>
  <c r="L108" i="1" s="1"/>
  <c r="M108" i="1" s="1"/>
  <c r="A109" i="1"/>
  <c r="S109" i="1"/>
  <c r="Y108" i="1"/>
  <c r="AD108" i="1" s="1"/>
  <c r="C110" i="1"/>
  <c r="Q111" i="1" l="1"/>
  <c r="R110" i="1"/>
  <c r="S110" i="1"/>
  <c r="Y109" i="1"/>
  <c r="AD109" i="1" s="1"/>
  <c r="AE109" i="1"/>
  <c r="Z109" i="1"/>
  <c r="AA109" i="1" s="1"/>
  <c r="AB109" i="1" s="1"/>
  <c r="AC109" i="1" s="1"/>
  <c r="I110" i="1"/>
  <c r="N110" i="1" s="1"/>
  <c r="C111" i="1"/>
  <c r="A110" i="1"/>
  <c r="B109" i="1"/>
  <c r="J109" i="1" s="1"/>
  <c r="K109" i="1" s="1"/>
  <c r="L109" i="1" s="1"/>
  <c r="M109" i="1" s="1"/>
  <c r="I109" i="1"/>
  <c r="N109" i="1" s="1"/>
  <c r="C112" i="1" l="1"/>
  <c r="Y110" i="1"/>
  <c r="AD110" i="1" s="1"/>
  <c r="S111" i="1"/>
  <c r="AE110" i="1"/>
  <c r="Z110" i="1"/>
  <c r="AA110" i="1" s="1"/>
  <c r="AB110" i="1" s="1"/>
  <c r="AC110" i="1" s="1"/>
  <c r="A111" i="1"/>
  <c r="B110" i="1"/>
  <c r="J110" i="1" s="1"/>
  <c r="K110" i="1" s="1"/>
  <c r="L110" i="1" s="1"/>
  <c r="M110" i="1" s="1"/>
  <c r="Q112" i="1"/>
  <c r="R111" i="1"/>
  <c r="Y111" i="1" l="1"/>
  <c r="AD111" i="1" s="1"/>
  <c r="S112" i="1"/>
  <c r="B111" i="1"/>
  <c r="J111" i="1" s="1"/>
  <c r="K111" i="1" s="1"/>
  <c r="L111" i="1" s="1"/>
  <c r="M111" i="1" s="1"/>
  <c r="A112" i="1"/>
  <c r="I112" i="1" s="1"/>
  <c r="N112" i="1" s="1"/>
  <c r="Z111" i="1"/>
  <c r="AA111" i="1" s="1"/>
  <c r="AB111" i="1" s="1"/>
  <c r="AC111" i="1" s="1"/>
  <c r="AE111" i="1"/>
  <c r="I111" i="1"/>
  <c r="N111" i="1" s="1"/>
  <c r="R112" i="1"/>
  <c r="Q113" i="1"/>
  <c r="C113" i="1"/>
  <c r="AE112" i="1" l="1"/>
  <c r="Z112" i="1"/>
  <c r="AA112" i="1" s="1"/>
  <c r="AB112" i="1" s="1"/>
  <c r="AC112" i="1" s="1"/>
  <c r="C114" i="1"/>
  <c r="S113" i="1"/>
  <c r="Y112" i="1"/>
  <c r="AD112" i="1" s="1"/>
  <c r="B112" i="1"/>
  <c r="J112" i="1" s="1"/>
  <c r="K112" i="1" s="1"/>
  <c r="L112" i="1" s="1"/>
  <c r="M112" i="1" s="1"/>
  <c r="A113" i="1"/>
  <c r="I113" i="1" s="1"/>
  <c r="N113" i="1" s="1"/>
  <c r="R113" i="1"/>
  <c r="Q114" i="1"/>
  <c r="A114" i="1" l="1"/>
  <c r="B113" i="1"/>
  <c r="J113" i="1" s="1"/>
  <c r="K113" i="1" s="1"/>
  <c r="L113" i="1" s="1"/>
  <c r="M113" i="1" s="1"/>
  <c r="I114" i="1"/>
  <c r="N114" i="1" s="1"/>
  <c r="C115" i="1"/>
  <c r="Q115" i="1"/>
  <c r="R114" i="1"/>
  <c r="AE113" i="1"/>
  <c r="Z113" i="1"/>
  <c r="AA113" i="1" s="1"/>
  <c r="AB113" i="1" s="1"/>
  <c r="AC113" i="1" s="1"/>
  <c r="S114" i="1"/>
  <c r="Y113" i="1"/>
  <c r="AD113" i="1" s="1"/>
  <c r="C116" i="1" l="1"/>
  <c r="AE114" i="1"/>
  <c r="Z114" i="1"/>
  <c r="AA114" i="1" s="1"/>
  <c r="AB114" i="1" s="1"/>
  <c r="AC114" i="1" s="1"/>
  <c r="Y114" i="1"/>
  <c r="AD114" i="1" s="1"/>
  <c r="S115" i="1"/>
  <c r="Q116" i="1"/>
  <c r="R115" i="1"/>
  <c r="A115" i="1"/>
  <c r="I115" i="1" s="1"/>
  <c r="N115" i="1" s="1"/>
  <c r="B114" i="1"/>
  <c r="J114" i="1" s="1"/>
  <c r="K114" i="1" s="1"/>
  <c r="L114" i="1" s="1"/>
  <c r="M114" i="1" s="1"/>
  <c r="Z115" i="1" l="1"/>
  <c r="AA115" i="1" s="1"/>
  <c r="AB115" i="1" s="1"/>
  <c r="AC115" i="1" s="1"/>
  <c r="AE115" i="1"/>
  <c r="R116" i="1"/>
  <c r="Q117" i="1"/>
  <c r="Y115" i="1"/>
  <c r="AD115" i="1" s="1"/>
  <c r="S116" i="1"/>
  <c r="B115" i="1"/>
  <c r="J115" i="1" s="1"/>
  <c r="K115" i="1" s="1"/>
  <c r="L115" i="1" s="1"/>
  <c r="M115" i="1" s="1"/>
  <c r="A116" i="1"/>
  <c r="C117" i="1"/>
  <c r="B116" i="1" l="1"/>
  <c r="J116" i="1" s="1"/>
  <c r="K116" i="1" s="1"/>
  <c r="L116" i="1" s="1"/>
  <c r="M116" i="1" s="1"/>
  <c r="A117" i="1"/>
  <c r="Q118" i="1"/>
  <c r="R117" i="1"/>
  <c r="AE116" i="1"/>
  <c r="Z116" i="1"/>
  <c r="AA116" i="1" s="1"/>
  <c r="AB116" i="1" s="1"/>
  <c r="AC116" i="1" s="1"/>
  <c r="I116" i="1"/>
  <c r="N116" i="1" s="1"/>
  <c r="S117" i="1"/>
  <c r="Y116" i="1"/>
  <c r="AD116" i="1" s="1"/>
  <c r="I117" i="1"/>
  <c r="N117" i="1" s="1"/>
  <c r="C118" i="1"/>
  <c r="C119" i="1" l="1"/>
  <c r="I118" i="1"/>
  <c r="N118" i="1" s="1"/>
  <c r="S118" i="1"/>
  <c r="Y117" i="1"/>
  <c r="AD117" i="1" s="1"/>
  <c r="AE117" i="1"/>
  <c r="Z117" i="1"/>
  <c r="AA117" i="1" s="1"/>
  <c r="AB117" i="1" s="1"/>
  <c r="AC117" i="1" s="1"/>
  <c r="R118" i="1"/>
  <c r="Q119" i="1"/>
  <c r="A118" i="1"/>
  <c r="B117" i="1"/>
  <c r="J117" i="1" s="1"/>
  <c r="K117" i="1" s="1"/>
  <c r="L117" i="1" s="1"/>
  <c r="M117" i="1" s="1"/>
  <c r="AE118" i="1" l="1"/>
  <c r="Z118" i="1"/>
  <c r="AA118" i="1" s="1"/>
  <c r="AB118" i="1" s="1"/>
  <c r="AC118" i="1" s="1"/>
  <c r="S119" i="1"/>
  <c r="Y118" i="1"/>
  <c r="AD118" i="1" s="1"/>
  <c r="R119" i="1"/>
  <c r="Q120" i="1"/>
  <c r="A119" i="1"/>
  <c r="B118" i="1"/>
  <c r="J118" i="1" s="1"/>
  <c r="K118" i="1" s="1"/>
  <c r="L118" i="1" s="1"/>
  <c r="M118" i="1" s="1"/>
  <c r="C120" i="1"/>
  <c r="A120" i="1" l="1"/>
  <c r="B119" i="1"/>
  <c r="J119" i="1" s="1"/>
  <c r="K119" i="1" s="1"/>
  <c r="L119" i="1" s="1"/>
  <c r="M119" i="1" s="1"/>
  <c r="S120" i="1"/>
  <c r="Y119" i="1"/>
  <c r="AD119" i="1" s="1"/>
  <c r="I120" i="1"/>
  <c r="N120" i="1" s="1"/>
  <c r="C121" i="1"/>
  <c r="Q121" i="1"/>
  <c r="R120" i="1"/>
  <c r="I119" i="1"/>
  <c r="N119" i="1" s="1"/>
  <c r="AE119" i="1"/>
  <c r="Z119" i="1"/>
  <c r="AA119" i="1" s="1"/>
  <c r="AB119" i="1" s="1"/>
  <c r="AC119" i="1" s="1"/>
  <c r="AE120" i="1" l="1"/>
  <c r="Z120" i="1"/>
  <c r="AA120" i="1" s="1"/>
  <c r="AB120" i="1" s="1"/>
  <c r="AC120" i="1" s="1"/>
  <c r="Q122" i="1"/>
  <c r="R121" i="1"/>
  <c r="Y120" i="1"/>
  <c r="AD120" i="1" s="1"/>
  <c r="S121" i="1"/>
  <c r="C122" i="1"/>
  <c r="I121" i="1"/>
  <c r="N121" i="1" s="1"/>
  <c r="A121" i="1"/>
  <c r="B120" i="1"/>
  <c r="J120" i="1" s="1"/>
  <c r="K120" i="1" s="1"/>
  <c r="L120" i="1" s="1"/>
  <c r="M120" i="1" s="1"/>
  <c r="Z121" i="1" l="1"/>
  <c r="AA121" i="1" s="1"/>
  <c r="AB121" i="1" s="1"/>
  <c r="AC121" i="1" s="1"/>
  <c r="AE121" i="1"/>
  <c r="C123" i="1"/>
  <c r="I122" i="1"/>
  <c r="N122" i="1" s="1"/>
  <c r="R122" i="1"/>
  <c r="Q123" i="1"/>
  <c r="Y121" i="1"/>
  <c r="AD121" i="1" s="1"/>
  <c r="S122" i="1"/>
  <c r="B121" i="1"/>
  <c r="J121" i="1" s="1"/>
  <c r="K121" i="1" s="1"/>
  <c r="L121" i="1" s="1"/>
  <c r="M121" i="1" s="1"/>
  <c r="A122" i="1"/>
  <c r="S123" i="1" l="1"/>
  <c r="Y122" i="1"/>
  <c r="AD122" i="1" s="1"/>
  <c r="I123" i="1"/>
  <c r="N123" i="1" s="1"/>
  <c r="C124" i="1"/>
  <c r="B122" i="1"/>
  <c r="J122" i="1" s="1"/>
  <c r="K122" i="1" s="1"/>
  <c r="L122" i="1" s="1"/>
  <c r="M122" i="1" s="1"/>
  <c r="A123" i="1"/>
  <c r="R123" i="1"/>
  <c r="Q124" i="1"/>
  <c r="AE122" i="1"/>
  <c r="Z122" i="1"/>
  <c r="AA122" i="1" s="1"/>
  <c r="AB122" i="1" s="1"/>
  <c r="AC122" i="1" s="1"/>
  <c r="AE123" i="1" l="1"/>
  <c r="Z123" i="1"/>
  <c r="AA123" i="1" s="1"/>
  <c r="AB123" i="1" s="1"/>
  <c r="AC123" i="1" s="1"/>
  <c r="A124" i="1"/>
  <c r="B123" i="1"/>
  <c r="J123" i="1" s="1"/>
  <c r="K123" i="1" s="1"/>
  <c r="L123" i="1" s="1"/>
  <c r="M123" i="1" s="1"/>
  <c r="S124" i="1"/>
  <c r="Y123" i="1"/>
  <c r="AD123" i="1" s="1"/>
  <c r="Q125" i="1"/>
  <c r="R124" i="1"/>
  <c r="C125" i="1"/>
  <c r="AE124" i="1" l="1"/>
  <c r="Z124" i="1"/>
  <c r="AA124" i="1" s="1"/>
  <c r="AB124" i="1" s="1"/>
  <c r="AC124" i="1" s="1"/>
  <c r="Q126" i="1"/>
  <c r="R125" i="1"/>
  <c r="A125" i="1"/>
  <c r="B124" i="1"/>
  <c r="J124" i="1" s="1"/>
  <c r="K124" i="1" s="1"/>
  <c r="L124" i="1" s="1"/>
  <c r="M124" i="1" s="1"/>
  <c r="C126" i="1"/>
  <c r="I125" i="1"/>
  <c r="N125" i="1" s="1"/>
  <c r="I124" i="1"/>
  <c r="N124" i="1" s="1"/>
  <c r="Y124" i="1"/>
  <c r="AD124" i="1" s="1"/>
  <c r="S125" i="1"/>
  <c r="Z125" i="1" l="1"/>
  <c r="AA125" i="1" s="1"/>
  <c r="AB125" i="1" s="1"/>
  <c r="AC125" i="1" s="1"/>
  <c r="AE125" i="1"/>
  <c r="Y125" i="1"/>
  <c r="AD125" i="1" s="1"/>
  <c r="S126" i="1"/>
  <c r="C127" i="1"/>
  <c r="R126" i="1"/>
  <c r="Q127" i="1"/>
  <c r="B125" i="1"/>
  <c r="J125" i="1" s="1"/>
  <c r="K125" i="1" s="1"/>
  <c r="L125" i="1" s="1"/>
  <c r="M125" i="1" s="1"/>
  <c r="A126" i="1"/>
  <c r="I126" i="1" s="1"/>
  <c r="N126" i="1" s="1"/>
  <c r="AE126" i="1" l="1"/>
  <c r="Z126" i="1"/>
  <c r="AA126" i="1" s="1"/>
  <c r="AB126" i="1" s="1"/>
  <c r="AC126" i="1" s="1"/>
  <c r="R127" i="1"/>
  <c r="Q128" i="1"/>
  <c r="S127" i="1"/>
  <c r="Y126" i="1"/>
  <c r="AD126" i="1" s="1"/>
  <c r="B126" i="1"/>
  <c r="J126" i="1" s="1"/>
  <c r="K126" i="1" s="1"/>
  <c r="L126" i="1" s="1"/>
  <c r="M126" i="1" s="1"/>
  <c r="A127" i="1"/>
  <c r="C128" i="1"/>
  <c r="AE127" i="1" l="1"/>
  <c r="Z127" i="1"/>
  <c r="AA127" i="1" s="1"/>
  <c r="AB127" i="1" s="1"/>
  <c r="AC127" i="1" s="1"/>
  <c r="A128" i="1"/>
  <c r="B127" i="1"/>
  <c r="J127" i="1" s="1"/>
  <c r="K127" i="1" s="1"/>
  <c r="L127" i="1" s="1"/>
  <c r="M127" i="1" s="1"/>
  <c r="Q129" i="1"/>
  <c r="R128" i="1"/>
  <c r="I128" i="1"/>
  <c r="N128" i="1" s="1"/>
  <c r="C129" i="1"/>
  <c r="I127" i="1"/>
  <c r="N127" i="1" s="1"/>
  <c r="S128" i="1"/>
  <c r="Y127" i="1"/>
  <c r="AD127" i="1" s="1"/>
  <c r="A129" i="1" l="1"/>
  <c r="B128" i="1"/>
  <c r="J128" i="1" s="1"/>
  <c r="K128" i="1" s="1"/>
  <c r="L128" i="1" s="1"/>
  <c r="M128" i="1" s="1"/>
  <c r="Y128" i="1"/>
  <c r="AD128" i="1" s="1"/>
  <c r="S129" i="1"/>
  <c r="AE128" i="1"/>
  <c r="Z128" i="1"/>
  <c r="AA128" i="1" s="1"/>
  <c r="AB128" i="1" s="1"/>
  <c r="AC128" i="1" s="1"/>
  <c r="C130" i="1"/>
  <c r="I129" i="1"/>
  <c r="N129" i="1" s="1"/>
  <c r="Q130" i="1"/>
  <c r="R129" i="1"/>
  <c r="Y129" i="1" l="1"/>
  <c r="AD129" i="1" s="1"/>
  <c r="S130" i="1"/>
  <c r="C131" i="1"/>
  <c r="Z129" i="1"/>
  <c r="AA129" i="1" s="1"/>
  <c r="AB129" i="1" s="1"/>
  <c r="AC129" i="1" s="1"/>
  <c r="AE129" i="1"/>
  <c r="R130" i="1"/>
  <c r="Q131" i="1"/>
  <c r="B129" i="1"/>
  <c r="J129" i="1" s="1"/>
  <c r="K129" i="1" s="1"/>
  <c r="L129" i="1" s="1"/>
  <c r="M129" i="1" s="1"/>
  <c r="A130" i="1"/>
  <c r="I130" i="1" s="1"/>
  <c r="N130" i="1" s="1"/>
  <c r="R131" i="1" l="1"/>
  <c r="Q132" i="1"/>
  <c r="AE130" i="1"/>
  <c r="Z130" i="1"/>
  <c r="AA130" i="1" s="1"/>
  <c r="AB130" i="1" s="1"/>
  <c r="AC130" i="1" s="1"/>
  <c r="C132" i="1"/>
  <c r="B130" i="1"/>
  <c r="J130" i="1" s="1"/>
  <c r="K130" i="1" s="1"/>
  <c r="L130" i="1" s="1"/>
  <c r="M130" i="1" s="1"/>
  <c r="A131" i="1"/>
  <c r="S131" i="1"/>
  <c r="Y130" i="1"/>
  <c r="AD130" i="1" s="1"/>
  <c r="A132" i="1" l="1"/>
  <c r="B131" i="1"/>
  <c r="J131" i="1" s="1"/>
  <c r="K131" i="1" s="1"/>
  <c r="L131" i="1" s="1"/>
  <c r="M131" i="1" s="1"/>
  <c r="I132" i="1"/>
  <c r="N132" i="1" s="1"/>
  <c r="C133" i="1"/>
  <c r="Q133" i="1"/>
  <c r="R132" i="1"/>
  <c r="S132" i="1"/>
  <c r="Y131" i="1"/>
  <c r="AD131" i="1" s="1"/>
  <c r="I131" i="1"/>
  <c r="N131" i="1" s="1"/>
  <c r="AE131" i="1"/>
  <c r="Z131" i="1"/>
  <c r="AA131" i="1" s="1"/>
  <c r="AB131" i="1" s="1"/>
  <c r="AC131" i="1" s="1"/>
  <c r="C134" i="1" l="1"/>
  <c r="Y132" i="1"/>
  <c r="AD132" i="1" s="1"/>
  <c r="S133" i="1"/>
  <c r="AE132" i="1"/>
  <c r="Z132" i="1"/>
  <c r="AA132" i="1" s="1"/>
  <c r="AB132" i="1" s="1"/>
  <c r="AC132" i="1" s="1"/>
  <c r="Q134" i="1"/>
  <c r="R133" i="1"/>
  <c r="A133" i="1"/>
  <c r="I133" i="1" s="1"/>
  <c r="N133" i="1" s="1"/>
  <c r="B132" i="1"/>
  <c r="J132" i="1" s="1"/>
  <c r="K132" i="1" s="1"/>
  <c r="L132" i="1" s="1"/>
  <c r="M132" i="1" s="1"/>
  <c r="Z133" i="1" l="1"/>
  <c r="AA133" i="1" s="1"/>
  <c r="AB133" i="1" s="1"/>
  <c r="AC133" i="1" s="1"/>
  <c r="AE133" i="1"/>
  <c r="Y133" i="1"/>
  <c r="AD133" i="1" s="1"/>
  <c r="S134" i="1"/>
  <c r="R134" i="1"/>
  <c r="Q135" i="1"/>
  <c r="B133" i="1"/>
  <c r="J133" i="1" s="1"/>
  <c r="K133" i="1" s="1"/>
  <c r="L133" i="1" s="1"/>
  <c r="M133" i="1" s="1"/>
  <c r="A134" i="1"/>
  <c r="C135" i="1"/>
  <c r="I134" i="1"/>
  <c r="N134" i="1" s="1"/>
  <c r="B134" i="1" l="1"/>
  <c r="J134" i="1" s="1"/>
  <c r="K134" i="1" s="1"/>
  <c r="L134" i="1" s="1"/>
  <c r="M134" i="1" s="1"/>
  <c r="A135" i="1"/>
  <c r="S135" i="1"/>
  <c r="Y134" i="1"/>
  <c r="AD134" i="1" s="1"/>
  <c r="R135" i="1"/>
  <c r="Q136" i="1"/>
  <c r="I135" i="1"/>
  <c r="N135" i="1" s="1"/>
  <c r="C136" i="1"/>
  <c r="AE134" i="1"/>
  <c r="Z134" i="1"/>
  <c r="AA134" i="1" s="1"/>
  <c r="AB134" i="1" s="1"/>
  <c r="AC134" i="1" s="1"/>
  <c r="C137" i="1" l="1"/>
  <c r="S136" i="1"/>
  <c r="Y135" i="1"/>
  <c r="AD135" i="1" s="1"/>
  <c r="Q137" i="1"/>
  <c r="R136" i="1"/>
  <c r="A136" i="1"/>
  <c r="B135" i="1"/>
  <c r="J135" i="1" s="1"/>
  <c r="K135" i="1" s="1"/>
  <c r="L135" i="1" s="1"/>
  <c r="M135" i="1" s="1"/>
  <c r="AE135" i="1"/>
  <c r="Z135" i="1"/>
  <c r="AA135" i="1" s="1"/>
  <c r="AB135" i="1" s="1"/>
  <c r="AC135" i="1" s="1"/>
  <c r="A137" i="1" l="1"/>
  <c r="B136" i="1"/>
  <c r="J136" i="1" s="1"/>
  <c r="K136" i="1" s="1"/>
  <c r="L136" i="1" s="1"/>
  <c r="M136" i="1" s="1"/>
  <c r="Y136" i="1"/>
  <c r="AD136" i="1" s="1"/>
  <c r="S137" i="1"/>
  <c r="AE136" i="1"/>
  <c r="Z136" i="1"/>
  <c r="AA136" i="1" s="1"/>
  <c r="AB136" i="1" s="1"/>
  <c r="AC136" i="1" s="1"/>
  <c r="C138" i="1"/>
  <c r="I137" i="1"/>
  <c r="N137" i="1" s="1"/>
  <c r="Q138" i="1"/>
  <c r="R137" i="1"/>
  <c r="I136" i="1"/>
  <c r="N136" i="1" s="1"/>
  <c r="Y137" i="1" l="1"/>
  <c r="AD137" i="1" s="1"/>
  <c r="S138" i="1"/>
  <c r="C139" i="1"/>
  <c r="I138" i="1"/>
  <c r="N138" i="1" s="1"/>
  <c r="Z137" i="1"/>
  <c r="AA137" i="1" s="1"/>
  <c r="AB137" i="1" s="1"/>
  <c r="AC137" i="1" s="1"/>
  <c r="AE137" i="1"/>
  <c r="R138" i="1"/>
  <c r="Q139" i="1"/>
  <c r="B137" i="1"/>
  <c r="J137" i="1" s="1"/>
  <c r="K137" i="1" s="1"/>
  <c r="L137" i="1" s="1"/>
  <c r="M137" i="1" s="1"/>
  <c r="A138" i="1"/>
  <c r="Q140" i="1" l="1"/>
  <c r="R139" i="1"/>
  <c r="AE138" i="1"/>
  <c r="Z138" i="1"/>
  <c r="AA138" i="1" s="1"/>
  <c r="AB138" i="1" s="1"/>
  <c r="AC138" i="1" s="1"/>
  <c r="C140" i="1"/>
  <c r="B138" i="1"/>
  <c r="J138" i="1" s="1"/>
  <c r="K138" i="1" s="1"/>
  <c r="L138" i="1" s="1"/>
  <c r="M138" i="1" s="1"/>
  <c r="A139" i="1"/>
  <c r="S139" i="1"/>
  <c r="Y138" i="1"/>
  <c r="AD138" i="1" s="1"/>
  <c r="A140" i="1" l="1"/>
  <c r="B139" i="1"/>
  <c r="J139" i="1" s="1"/>
  <c r="K139" i="1" s="1"/>
  <c r="L139" i="1" s="1"/>
  <c r="M139" i="1" s="1"/>
  <c r="AE139" i="1"/>
  <c r="Z139" i="1"/>
  <c r="AA139" i="1" s="1"/>
  <c r="AB139" i="1" s="1"/>
  <c r="AC139" i="1" s="1"/>
  <c r="C141" i="1"/>
  <c r="I140" i="1"/>
  <c r="N140" i="1" s="1"/>
  <c r="S140" i="1"/>
  <c r="Y139" i="1"/>
  <c r="AD139" i="1" s="1"/>
  <c r="I139" i="1"/>
  <c r="N139" i="1" s="1"/>
  <c r="Q141" i="1"/>
  <c r="R140" i="1"/>
  <c r="AE140" i="1" l="1"/>
  <c r="Z140" i="1"/>
  <c r="AA140" i="1" s="1"/>
  <c r="AB140" i="1" s="1"/>
  <c r="AC140" i="1" s="1"/>
  <c r="S141" i="1"/>
  <c r="Y140" i="1"/>
  <c r="AD140" i="1" s="1"/>
  <c r="R141" i="1"/>
  <c r="Q142" i="1"/>
  <c r="I141" i="1"/>
  <c r="N141" i="1" s="1"/>
  <c r="C142" i="1"/>
  <c r="A141" i="1"/>
  <c r="B140" i="1"/>
  <c r="J140" i="1" s="1"/>
  <c r="K140" i="1" s="1"/>
  <c r="L140" i="1" s="1"/>
  <c r="M140" i="1" s="1"/>
  <c r="S142" i="1" l="1"/>
  <c r="Y141" i="1"/>
  <c r="AD141" i="1" s="1"/>
  <c r="C143" i="1"/>
  <c r="Q143" i="1"/>
  <c r="R142" i="1"/>
  <c r="A142" i="1"/>
  <c r="B141" i="1"/>
  <c r="J141" i="1" s="1"/>
  <c r="K141" i="1" s="1"/>
  <c r="L141" i="1" s="1"/>
  <c r="M141" i="1" s="1"/>
  <c r="AE141" i="1"/>
  <c r="Z141" i="1"/>
  <c r="AA141" i="1" s="1"/>
  <c r="AB141" i="1" s="1"/>
  <c r="AC141" i="1" s="1"/>
  <c r="C144" i="1" l="1"/>
  <c r="A143" i="1"/>
  <c r="B142" i="1"/>
  <c r="J142" i="1" s="1"/>
  <c r="K142" i="1" s="1"/>
  <c r="L142" i="1" s="1"/>
  <c r="M142" i="1" s="1"/>
  <c r="I142" i="1"/>
  <c r="N142" i="1" s="1"/>
  <c r="AE142" i="1"/>
  <c r="Z142" i="1"/>
  <c r="AA142" i="1" s="1"/>
  <c r="AB142" i="1" s="1"/>
  <c r="AC142" i="1" s="1"/>
  <c r="Q144" i="1"/>
  <c r="R143" i="1"/>
  <c r="Y142" i="1"/>
  <c r="AD142" i="1" s="1"/>
  <c r="S143" i="1"/>
  <c r="R144" i="1" l="1"/>
  <c r="Q145" i="1"/>
  <c r="B143" i="1"/>
  <c r="J143" i="1" s="1"/>
  <c r="K143" i="1" s="1"/>
  <c r="L143" i="1" s="1"/>
  <c r="M143" i="1" s="1"/>
  <c r="A144" i="1"/>
  <c r="I143" i="1"/>
  <c r="N143" i="1" s="1"/>
  <c r="Y143" i="1"/>
  <c r="AD143" i="1" s="1"/>
  <c r="S144" i="1"/>
  <c r="Z143" i="1"/>
  <c r="AA143" i="1" s="1"/>
  <c r="AB143" i="1" s="1"/>
  <c r="AC143" i="1" s="1"/>
  <c r="AE143" i="1"/>
  <c r="C145" i="1"/>
  <c r="I144" i="1"/>
  <c r="N144" i="1" s="1"/>
  <c r="C146" i="1" l="1"/>
  <c r="B144" i="1"/>
  <c r="J144" i="1" s="1"/>
  <c r="K144" i="1" s="1"/>
  <c r="L144" i="1" s="1"/>
  <c r="M144" i="1" s="1"/>
  <c r="A145" i="1"/>
  <c r="R145" i="1"/>
  <c r="Q146" i="1"/>
  <c r="S145" i="1"/>
  <c r="Y144" i="1"/>
  <c r="AD144" i="1" s="1"/>
  <c r="AE144" i="1"/>
  <c r="Z144" i="1"/>
  <c r="AA144" i="1" s="1"/>
  <c r="AB144" i="1" s="1"/>
  <c r="AC144" i="1" s="1"/>
  <c r="A146" i="1" l="1"/>
  <c r="B145" i="1"/>
  <c r="J145" i="1" s="1"/>
  <c r="K145" i="1" s="1"/>
  <c r="L145" i="1" s="1"/>
  <c r="M145" i="1" s="1"/>
  <c r="S146" i="1"/>
  <c r="Y145" i="1"/>
  <c r="AD145" i="1" s="1"/>
  <c r="Q147" i="1"/>
  <c r="R146" i="1"/>
  <c r="I146" i="1"/>
  <c r="N146" i="1" s="1"/>
  <c r="C147" i="1"/>
  <c r="AE145" i="1"/>
  <c r="Z145" i="1"/>
  <c r="AA145" i="1" s="1"/>
  <c r="AB145" i="1" s="1"/>
  <c r="AC145" i="1" s="1"/>
  <c r="I145" i="1"/>
  <c r="N145" i="1" s="1"/>
  <c r="C148" i="1" l="1"/>
  <c r="Y146" i="1"/>
  <c r="AD146" i="1" s="1"/>
  <c r="S147" i="1"/>
  <c r="AE146" i="1"/>
  <c r="Z146" i="1"/>
  <c r="AA146" i="1" s="1"/>
  <c r="AB146" i="1" s="1"/>
  <c r="AC146" i="1" s="1"/>
  <c r="Q148" i="1"/>
  <c r="R147" i="1"/>
  <c r="A147" i="1"/>
  <c r="I147" i="1" s="1"/>
  <c r="N147" i="1" s="1"/>
  <c r="B146" i="1"/>
  <c r="J146" i="1" s="1"/>
  <c r="K146" i="1" s="1"/>
  <c r="L146" i="1" s="1"/>
  <c r="M146" i="1" s="1"/>
  <c r="Z147" i="1" l="1"/>
  <c r="AA147" i="1" s="1"/>
  <c r="AB147" i="1" s="1"/>
  <c r="AC147" i="1" s="1"/>
  <c r="AE147" i="1"/>
  <c r="Y147" i="1"/>
  <c r="AD147" i="1" s="1"/>
  <c r="S148" i="1"/>
  <c r="R148" i="1"/>
  <c r="Q149" i="1"/>
  <c r="B147" i="1"/>
  <c r="J147" i="1" s="1"/>
  <c r="K147" i="1" s="1"/>
  <c r="L147" i="1" s="1"/>
  <c r="M147" i="1" s="1"/>
  <c r="A148" i="1"/>
  <c r="C149" i="1"/>
  <c r="B148" i="1" l="1"/>
  <c r="J148" i="1" s="1"/>
  <c r="K148" i="1" s="1"/>
  <c r="L148" i="1" s="1"/>
  <c r="M148" i="1" s="1"/>
  <c r="A149" i="1"/>
  <c r="S149" i="1"/>
  <c r="Y148" i="1"/>
  <c r="AD148" i="1" s="1"/>
  <c r="R149" i="1"/>
  <c r="Q150" i="1"/>
  <c r="I148" i="1"/>
  <c r="N148" i="1" s="1"/>
  <c r="I149" i="1"/>
  <c r="N149" i="1" s="1"/>
  <c r="C150" i="1"/>
  <c r="AE148" i="1"/>
  <c r="Z148" i="1"/>
  <c r="AA148" i="1" s="1"/>
  <c r="AB148" i="1" s="1"/>
  <c r="AC148" i="1" s="1"/>
  <c r="S150" i="1" l="1"/>
  <c r="Y149" i="1"/>
  <c r="AD149" i="1" s="1"/>
  <c r="Q151" i="1"/>
  <c r="R150" i="1"/>
  <c r="A150" i="1"/>
  <c r="B149" i="1"/>
  <c r="J149" i="1" s="1"/>
  <c r="K149" i="1" s="1"/>
  <c r="L149" i="1" s="1"/>
  <c r="M149" i="1" s="1"/>
  <c r="I150" i="1"/>
  <c r="N150" i="1" s="1"/>
  <c r="C151" i="1"/>
  <c r="AE149" i="1"/>
  <c r="Z149" i="1"/>
  <c r="AA149" i="1" s="1"/>
  <c r="AB149" i="1" s="1"/>
  <c r="AC149" i="1" s="1"/>
  <c r="C152" i="1" l="1"/>
  <c r="I151" i="1"/>
  <c r="N151" i="1" s="1"/>
  <c r="AE150" i="1"/>
  <c r="Z150" i="1"/>
  <c r="AA150" i="1" s="1"/>
  <c r="AB150" i="1" s="1"/>
  <c r="AC150" i="1" s="1"/>
  <c r="Q152" i="1"/>
  <c r="R151" i="1"/>
  <c r="A151" i="1"/>
  <c r="B150" i="1"/>
  <c r="J150" i="1" s="1"/>
  <c r="K150" i="1" s="1"/>
  <c r="L150" i="1" s="1"/>
  <c r="M150" i="1" s="1"/>
  <c r="Y150" i="1"/>
  <c r="AD150" i="1" s="1"/>
  <c r="S151" i="1"/>
  <c r="Y151" i="1" l="1"/>
  <c r="AD151" i="1" s="1"/>
  <c r="S152" i="1"/>
  <c r="Z151" i="1"/>
  <c r="AA151" i="1" s="1"/>
  <c r="AB151" i="1" s="1"/>
  <c r="AC151" i="1" s="1"/>
  <c r="AE151" i="1"/>
  <c r="B151" i="1"/>
  <c r="J151" i="1" s="1"/>
  <c r="K151" i="1" s="1"/>
  <c r="L151" i="1" s="1"/>
  <c r="M151" i="1" s="1"/>
  <c r="A152" i="1"/>
  <c r="R152" i="1"/>
  <c r="Q153" i="1"/>
  <c r="C153" i="1"/>
  <c r="I152" i="1"/>
  <c r="N152" i="1" s="1"/>
  <c r="C154" i="1" l="1"/>
  <c r="R153" i="1"/>
  <c r="Q154" i="1"/>
  <c r="AE152" i="1"/>
  <c r="Z152" i="1"/>
  <c r="AA152" i="1" s="1"/>
  <c r="AB152" i="1" s="1"/>
  <c r="AC152" i="1" s="1"/>
  <c r="B152" i="1"/>
  <c r="J152" i="1" s="1"/>
  <c r="K152" i="1" s="1"/>
  <c r="L152" i="1" s="1"/>
  <c r="M152" i="1" s="1"/>
  <c r="A153" i="1"/>
  <c r="S153" i="1"/>
  <c r="Y152" i="1"/>
  <c r="AD152" i="1" s="1"/>
  <c r="Q155" i="1" l="1"/>
  <c r="R154" i="1"/>
  <c r="AE153" i="1"/>
  <c r="Z153" i="1"/>
  <c r="AA153" i="1" s="1"/>
  <c r="AB153" i="1" s="1"/>
  <c r="AC153" i="1" s="1"/>
  <c r="A154" i="1"/>
  <c r="B153" i="1"/>
  <c r="J153" i="1" s="1"/>
  <c r="K153" i="1" s="1"/>
  <c r="L153" i="1" s="1"/>
  <c r="M153" i="1" s="1"/>
  <c r="I154" i="1"/>
  <c r="N154" i="1" s="1"/>
  <c r="C155" i="1"/>
  <c r="S154" i="1"/>
  <c r="Y153" i="1"/>
  <c r="AD153" i="1" s="1"/>
  <c r="I153" i="1"/>
  <c r="N153" i="1" s="1"/>
  <c r="C156" i="1" l="1"/>
  <c r="I155" i="1"/>
  <c r="N155" i="1" s="1"/>
  <c r="AE154" i="1"/>
  <c r="Z154" i="1"/>
  <c r="AA154" i="1" s="1"/>
  <c r="AB154" i="1" s="1"/>
  <c r="AC154" i="1" s="1"/>
  <c r="Y154" i="1"/>
  <c r="AD154" i="1" s="1"/>
  <c r="S155" i="1"/>
  <c r="A155" i="1"/>
  <c r="B154" i="1"/>
  <c r="J154" i="1" s="1"/>
  <c r="K154" i="1" s="1"/>
  <c r="L154" i="1" s="1"/>
  <c r="M154" i="1" s="1"/>
  <c r="Q156" i="1"/>
  <c r="R155" i="1"/>
  <c r="R156" i="1" l="1"/>
  <c r="Q157" i="1"/>
  <c r="B155" i="1"/>
  <c r="J155" i="1" s="1"/>
  <c r="K155" i="1" s="1"/>
  <c r="L155" i="1" s="1"/>
  <c r="M155" i="1" s="1"/>
  <c r="A156" i="1"/>
  <c r="Z155" i="1"/>
  <c r="AA155" i="1" s="1"/>
  <c r="AB155" i="1" s="1"/>
  <c r="AC155" i="1" s="1"/>
  <c r="AE155" i="1"/>
  <c r="Y155" i="1"/>
  <c r="AD155" i="1" s="1"/>
  <c r="S156" i="1"/>
  <c r="C157" i="1"/>
  <c r="S157" i="1" l="1"/>
  <c r="Y156" i="1"/>
  <c r="AD156" i="1" s="1"/>
  <c r="B156" i="1"/>
  <c r="J156" i="1" s="1"/>
  <c r="K156" i="1" s="1"/>
  <c r="L156" i="1" s="1"/>
  <c r="M156" i="1" s="1"/>
  <c r="A157" i="1"/>
  <c r="I156" i="1"/>
  <c r="N156" i="1" s="1"/>
  <c r="R157" i="1"/>
  <c r="Q158" i="1"/>
  <c r="I157" i="1"/>
  <c r="N157" i="1" s="1"/>
  <c r="C158" i="1"/>
  <c r="AE156" i="1"/>
  <c r="Z156" i="1"/>
  <c r="AA156" i="1" s="1"/>
  <c r="AB156" i="1" s="1"/>
  <c r="AC156" i="1" s="1"/>
  <c r="A158" i="1" l="1"/>
  <c r="B157" i="1"/>
  <c r="J157" i="1" s="1"/>
  <c r="K157" i="1" s="1"/>
  <c r="L157" i="1" s="1"/>
  <c r="M157" i="1" s="1"/>
  <c r="Q159" i="1"/>
  <c r="R158" i="1"/>
  <c r="AE157" i="1"/>
  <c r="Z157" i="1"/>
  <c r="AA157" i="1" s="1"/>
  <c r="AB157" i="1" s="1"/>
  <c r="AC157" i="1" s="1"/>
  <c r="I158" i="1"/>
  <c r="N158" i="1" s="1"/>
  <c r="C159" i="1"/>
  <c r="S158" i="1"/>
  <c r="Y157" i="1"/>
  <c r="AD157" i="1" s="1"/>
  <c r="C160" i="1" l="1"/>
  <c r="AE158" i="1"/>
  <c r="Z158" i="1"/>
  <c r="AA158" i="1" s="1"/>
  <c r="AB158" i="1" s="1"/>
  <c r="AC158" i="1" s="1"/>
  <c r="Q160" i="1"/>
  <c r="R159" i="1"/>
  <c r="Y158" i="1"/>
  <c r="AD158" i="1" s="1"/>
  <c r="S159" i="1"/>
  <c r="A159" i="1"/>
  <c r="I159" i="1" s="1"/>
  <c r="N159" i="1" s="1"/>
  <c r="B158" i="1"/>
  <c r="J158" i="1" s="1"/>
  <c r="K158" i="1" s="1"/>
  <c r="L158" i="1" s="1"/>
  <c r="M158" i="1" s="1"/>
  <c r="S160" i="1" l="1"/>
  <c r="Y159" i="1"/>
  <c r="AD159" i="1" s="1"/>
  <c r="AE159" i="1"/>
  <c r="Z159" i="1"/>
  <c r="AA159" i="1" s="1"/>
  <c r="AB159" i="1" s="1"/>
  <c r="AC159" i="1" s="1"/>
  <c r="A160" i="1"/>
  <c r="B159" i="1"/>
  <c r="J159" i="1" s="1"/>
  <c r="K159" i="1" s="1"/>
  <c r="L159" i="1" s="1"/>
  <c r="M159" i="1" s="1"/>
  <c r="R160" i="1"/>
  <c r="Q161" i="1"/>
  <c r="I160" i="1"/>
  <c r="N160" i="1" s="1"/>
  <c r="C161" i="1"/>
  <c r="Q162" i="1" l="1"/>
  <c r="R161" i="1"/>
  <c r="AE160" i="1"/>
  <c r="Z160" i="1"/>
  <c r="AA160" i="1" s="1"/>
  <c r="AB160" i="1" s="1"/>
  <c r="AC160" i="1" s="1"/>
  <c r="C162" i="1"/>
  <c r="A161" i="1"/>
  <c r="B160" i="1"/>
  <c r="J160" i="1" s="1"/>
  <c r="K160" i="1" s="1"/>
  <c r="L160" i="1" s="1"/>
  <c r="M160" i="1" s="1"/>
  <c r="S161" i="1"/>
  <c r="Y160" i="1"/>
  <c r="AD160" i="1" s="1"/>
  <c r="A162" i="1" l="1"/>
  <c r="B161" i="1"/>
  <c r="J161" i="1" s="1"/>
  <c r="K161" i="1" s="1"/>
  <c r="L161" i="1" s="1"/>
  <c r="M161" i="1" s="1"/>
  <c r="C163" i="1"/>
  <c r="I162" i="1"/>
  <c r="N162" i="1" s="1"/>
  <c r="AE161" i="1"/>
  <c r="Z161" i="1"/>
  <c r="AA161" i="1" s="1"/>
  <c r="AB161" i="1" s="1"/>
  <c r="AC161" i="1" s="1"/>
  <c r="Y161" i="1"/>
  <c r="AD161" i="1" s="1"/>
  <c r="S162" i="1"/>
  <c r="I161" i="1"/>
  <c r="N161" i="1" s="1"/>
  <c r="Q163" i="1"/>
  <c r="R162" i="1"/>
  <c r="C164" i="1" l="1"/>
  <c r="Y162" i="1"/>
  <c r="AD162" i="1" s="1"/>
  <c r="S163" i="1"/>
  <c r="Z162" i="1"/>
  <c r="AA162" i="1" s="1"/>
  <c r="AB162" i="1" s="1"/>
  <c r="AC162" i="1" s="1"/>
  <c r="AE162" i="1"/>
  <c r="R163" i="1"/>
  <c r="Q164" i="1"/>
  <c r="B162" i="1"/>
  <c r="J162" i="1" s="1"/>
  <c r="K162" i="1" s="1"/>
  <c r="L162" i="1" s="1"/>
  <c r="M162" i="1" s="1"/>
  <c r="A163" i="1"/>
  <c r="I163" i="1" s="1"/>
  <c r="N163" i="1" s="1"/>
  <c r="R164" i="1" l="1"/>
  <c r="Q165" i="1"/>
  <c r="S164" i="1"/>
  <c r="Y163" i="1"/>
  <c r="AD163" i="1" s="1"/>
  <c r="AE163" i="1"/>
  <c r="Z163" i="1"/>
  <c r="AA163" i="1" s="1"/>
  <c r="AB163" i="1" s="1"/>
  <c r="AC163" i="1" s="1"/>
  <c r="B163" i="1"/>
  <c r="J163" i="1" s="1"/>
  <c r="K163" i="1" s="1"/>
  <c r="L163" i="1" s="1"/>
  <c r="M163" i="1" s="1"/>
  <c r="A164" i="1"/>
  <c r="C165" i="1"/>
  <c r="Q166" i="1" l="1"/>
  <c r="R165" i="1"/>
  <c r="A165" i="1"/>
  <c r="B164" i="1"/>
  <c r="J164" i="1" s="1"/>
  <c r="K164" i="1" s="1"/>
  <c r="L164" i="1" s="1"/>
  <c r="M164" i="1" s="1"/>
  <c r="S165" i="1"/>
  <c r="Y164" i="1"/>
  <c r="AD164" i="1" s="1"/>
  <c r="I165" i="1"/>
  <c r="N165" i="1" s="1"/>
  <c r="C166" i="1"/>
  <c r="I164" i="1"/>
  <c r="N164" i="1" s="1"/>
  <c r="AE164" i="1"/>
  <c r="Z164" i="1"/>
  <c r="AA164" i="1" s="1"/>
  <c r="AB164" i="1" s="1"/>
  <c r="AC164" i="1" s="1"/>
  <c r="A166" i="1" l="1"/>
  <c r="B165" i="1"/>
  <c r="J165" i="1" s="1"/>
  <c r="K165" i="1" s="1"/>
  <c r="L165" i="1" s="1"/>
  <c r="M165" i="1" s="1"/>
  <c r="AE165" i="1"/>
  <c r="Z165" i="1"/>
  <c r="AA165" i="1" s="1"/>
  <c r="AB165" i="1" s="1"/>
  <c r="AC165" i="1" s="1"/>
  <c r="C167" i="1"/>
  <c r="I166" i="1"/>
  <c r="N166" i="1" s="1"/>
  <c r="Y165" i="1"/>
  <c r="AD165" i="1" s="1"/>
  <c r="S166" i="1"/>
  <c r="Q167" i="1"/>
  <c r="R166" i="1"/>
  <c r="Z166" i="1" l="1"/>
  <c r="AA166" i="1" s="1"/>
  <c r="AB166" i="1" s="1"/>
  <c r="AC166" i="1" s="1"/>
  <c r="AE166" i="1"/>
  <c r="Y166" i="1"/>
  <c r="AD166" i="1" s="1"/>
  <c r="S167" i="1"/>
  <c r="R167" i="1"/>
  <c r="Q168" i="1"/>
  <c r="C168" i="1"/>
  <c r="I167" i="1"/>
  <c r="N167" i="1" s="1"/>
  <c r="B166" i="1"/>
  <c r="J166" i="1" s="1"/>
  <c r="K166" i="1" s="1"/>
  <c r="L166" i="1" s="1"/>
  <c r="M166" i="1" s="1"/>
  <c r="A167" i="1"/>
  <c r="S168" i="1" l="1"/>
  <c r="Y167" i="1"/>
  <c r="AD167" i="1" s="1"/>
  <c r="C169" i="1"/>
  <c r="B167" i="1"/>
  <c r="J167" i="1" s="1"/>
  <c r="K167" i="1" s="1"/>
  <c r="L167" i="1" s="1"/>
  <c r="M167" i="1" s="1"/>
  <c r="A168" i="1"/>
  <c r="I168" i="1" s="1"/>
  <c r="N168" i="1" s="1"/>
  <c r="R168" i="1"/>
  <c r="Q169" i="1"/>
  <c r="AE167" i="1"/>
  <c r="Z167" i="1"/>
  <c r="AA167" i="1" s="1"/>
  <c r="AB167" i="1" s="1"/>
  <c r="AC167" i="1" s="1"/>
  <c r="C170" i="1" l="1"/>
  <c r="AE168" i="1"/>
  <c r="Z168" i="1"/>
  <c r="AA168" i="1" s="1"/>
  <c r="AB168" i="1" s="1"/>
  <c r="AC168" i="1" s="1"/>
  <c r="Q170" i="1"/>
  <c r="R169" i="1"/>
  <c r="A169" i="1"/>
  <c r="B168" i="1"/>
  <c r="J168" i="1" s="1"/>
  <c r="K168" i="1" s="1"/>
  <c r="L168" i="1" s="1"/>
  <c r="M168" i="1" s="1"/>
  <c r="S169" i="1"/>
  <c r="Y168" i="1"/>
  <c r="AD168" i="1" s="1"/>
  <c r="AE169" i="1" l="1"/>
  <c r="Z169" i="1"/>
  <c r="AA169" i="1" s="1"/>
  <c r="AB169" i="1" s="1"/>
  <c r="AC169" i="1" s="1"/>
  <c r="C171" i="1"/>
  <c r="I170" i="1"/>
  <c r="N170" i="1" s="1"/>
  <c r="A170" i="1"/>
  <c r="B169" i="1"/>
  <c r="J169" i="1" s="1"/>
  <c r="K169" i="1" s="1"/>
  <c r="L169" i="1" s="1"/>
  <c r="M169" i="1" s="1"/>
  <c r="Y169" i="1"/>
  <c r="AD169" i="1" s="1"/>
  <c r="S170" i="1"/>
  <c r="Q171" i="1"/>
  <c r="R170" i="1"/>
  <c r="I169" i="1"/>
  <c r="N169" i="1" s="1"/>
  <c r="Z170" i="1" l="1"/>
  <c r="AA170" i="1" s="1"/>
  <c r="AB170" i="1" s="1"/>
  <c r="AC170" i="1" s="1"/>
  <c r="AE170" i="1"/>
  <c r="Y170" i="1"/>
  <c r="AD170" i="1" s="1"/>
  <c r="S171" i="1"/>
  <c r="C172" i="1"/>
  <c r="R171" i="1"/>
  <c r="Q172" i="1"/>
  <c r="B170" i="1"/>
  <c r="J170" i="1" s="1"/>
  <c r="K170" i="1" s="1"/>
  <c r="L170" i="1" s="1"/>
  <c r="M170" i="1" s="1"/>
  <c r="A171" i="1"/>
  <c r="R172" i="1" l="1"/>
  <c r="Q173" i="1"/>
  <c r="S172" i="1"/>
  <c r="Y171" i="1"/>
  <c r="AD171" i="1" s="1"/>
  <c r="B171" i="1"/>
  <c r="J171" i="1" s="1"/>
  <c r="K171" i="1" s="1"/>
  <c r="L171" i="1" s="1"/>
  <c r="M171" i="1" s="1"/>
  <c r="A172" i="1"/>
  <c r="I171" i="1"/>
  <c r="N171" i="1" s="1"/>
  <c r="AE171" i="1"/>
  <c r="Z171" i="1"/>
  <c r="AA171" i="1" s="1"/>
  <c r="AB171" i="1" s="1"/>
  <c r="AC171" i="1" s="1"/>
  <c r="I172" i="1"/>
  <c r="N172" i="1" s="1"/>
  <c r="C173" i="1"/>
  <c r="C174" i="1" l="1"/>
  <c r="S173" i="1"/>
  <c r="Y172" i="1"/>
  <c r="AD172" i="1" s="1"/>
  <c r="A173" i="1"/>
  <c r="B172" i="1"/>
  <c r="J172" i="1" s="1"/>
  <c r="K172" i="1" s="1"/>
  <c r="L172" i="1" s="1"/>
  <c r="M172" i="1" s="1"/>
  <c r="Q174" i="1"/>
  <c r="R173" i="1"/>
  <c r="AE172" i="1"/>
  <c r="Z172" i="1"/>
  <c r="AA172" i="1" s="1"/>
  <c r="AB172" i="1" s="1"/>
  <c r="AC172" i="1" s="1"/>
  <c r="Q175" i="1" l="1"/>
  <c r="R174" i="1"/>
  <c r="Y173" i="1"/>
  <c r="AD173" i="1" s="1"/>
  <c r="S174" i="1"/>
  <c r="AE173" i="1"/>
  <c r="Z173" i="1"/>
  <c r="AA173" i="1" s="1"/>
  <c r="AB173" i="1" s="1"/>
  <c r="AC173" i="1" s="1"/>
  <c r="C175" i="1"/>
  <c r="I174" i="1"/>
  <c r="N174" i="1" s="1"/>
  <c r="A174" i="1"/>
  <c r="B173" i="1"/>
  <c r="J173" i="1" s="1"/>
  <c r="K173" i="1" s="1"/>
  <c r="L173" i="1" s="1"/>
  <c r="M173" i="1" s="1"/>
  <c r="I173" i="1"/>
  <c r="N173" i="1" s="1"/>
  <c r="Y174" i="1" l="1"/>
  <c r="AD174" i="1" s="1"/>
  <c r="S175" i="1"/>
  <c r="Z174" i="1"/>
  <c r="AA174" i="1" s="1"/>
  <c r="AB174" i="1" s="1"/>
  <c r="AC174" i="1" s="1"/>
  <c r="AE174" i="1"/>
  <c r="C176" i="1"/>
  <c r="B174" i="1"/>
  <c r="J174" i="1" s="1"/>
  <c r="K174" i="1" s="1"/>
  <c r="L174" i="1" s="1"/>
  <c r="M174" i="1" s="1"/>
  <c r="A175" i="1"/>
  <c r="R175" i="1"/>
  <c r="Q176" i="1"/>
  <c r="B175" i="1" l="1"/>
  <c r="J175" i="1" s="1"/>
  <c r="K175" i="1" s="1"/>
  <c r="L175" i="1" s="1"/>
  <c r="M175" i="1" s="1"/>
  <c r="A176" i="1"/>
  <c r="R176" i="1"/>
  <c r="Q177" i="1"/>
  <c r="I175" i="1"/>
  <c r="N175" i="1" s="1"/>
  <c r="S176" i="1"/>
  <c r="Y175" i="1"/>
  <c r="AD175" i="1" s="1"/>
  <c r="AE175" i="1"/>
  <c r="Z175" i="1"/>
  <c r="AA175" i="1" s="1"/>
  <c r="AB175" i="1" s="1"/>
  <c r="AC175" i="1" s="1"/>
  <c r="I176" i="1"/>
  <c r="N176" i="1" s="1"/>
  <c r="C177" i="1"/>
  <c r="Q178" i="1" l="1"/>
  <c r="R177" i="1"/>
  <c r="C178" i="1"/>
  <c r="AE176" i="1"/>
  <c r="Z176" i="1"/>
  <c r="AA176" i="1" s="1"/>
  <c r="AB176" i="1" s="1"/>
  <c r="AC176" i="1" s="1"/>
  <c r="S177" i="1"/>
  <c r="Y176" i="1"/>
  <c r="AD176" i="1" s="1"/>
  <c r="A177" i="1"/>
  <c r="I177" i="1" s="1"/>
  <c r="N177" i="1" s="1"/>
  <c r="B176" i="1"/>
  <c r="J176" i="1" s="1"/>
  <c r="K176" i="1" s="1"/>
  <c r="L176" i="1" s="1"/>
  <c r="M176" i="1" s="1"/>
  <c r="C179" i="1" l="1"/>
  <c r="Y177" i="1"/>
  <c r="AD177" i="1" s="1"/>
  <c r="S178" i="1"/>
  <c r="AE177" i="1"/>
  <c r="Z177" i="1"/>
  <c r="AA177" i="1" s="1"/>
  <c r="AB177" i="1" s="1"/>
  <c r="AC177" i="1" s="1"/>
  <c r="A178" i="1"/>
  <c r="B177" i="1"/>
  <c r="J177" i="1" s="1"/>
  <c r="K177" i="1" s="1"/>
  <c r="L177" i="1" s="1"/>
  <c r="M177" i="1" s="1"/>
  <c r="Q179" i="1"/>
  <c r="R178" i="1"/>
  <c r="Y178" i="1" l="1"/>
  <c r="AD178" i="1" s="1"/>
  <c r="S179" i="1"/>
  <c r="B178" i="1"/>
  <c r="J178" i="1" s="1"/>
  <c r="K178" i="1" s="1"/>
  <c r="L178" i="1" s="1"/>
  <c r="M178" i="1" s="1"/>
  <c r="A179" i="1"/>
  <c r="Z178" i="1"/>
  <c r="AA178" i="1" s="1"/>
  <c r="AB178" i="1" s="1"/>
  <c r="AC178" i="1" s="1"/>
  <c r="AE178" i="1"/>
  <c r="I178" i="1"/>
  <c r="N178" i="1" s="1"/>
  <c r="R179" i="1"/>
  <c r="Q180" i="1"/>
  <c r="C180" i="1"/>
  <c r="B179" i="1" l="1"/>
  <c r="J179" i="1" s="1"/>
  <c r="K179" i="1" s="1"/>
  <c r="L179" i="1" s="1"/>
  <c r="M179" i="1" s="1"/>
  <c r="A180" i="1"/>
  <c r="I180" i="1" s="1"/>
  <c r="N180" i="1" s="1"/>
  <c r="I179" i="1"/>
  <c r="N179" i="1" s="1"/>
  <c r="C181" i="1"/>
  <c r="S180" i="1"/>
  <c r="Y179" i="1"/>
  <c r="AD179" i="1" s="1"/>
  <c r="AE179" i="1"/>
  <c r="Z179" i="1"/>
  <c r="AA179" i="1" s="1"/>
  <c r="AB179" i="1" s="1"/>
  <c r="AC179" i="1" s="1"/>
  <c r="R180" i="1"/>
  <c r="Q181" i="1"/>
  <c r="R181" i="1" l="1"/>
  <c r="Q182" i="1"/>
  <c r="I181" i="1"/>
  <c r="N181" i="1" s="1"/>
  <c r="C182" i="1"/>
  <c r="AE180" i="1"/>
  <c r="Z180" i="1"/>
  <c r="AA180" i="1" s="1"/>
  <c r="AB180" i="1" s="1"/>
  <c r="AC180" i="1" s="1"/>
  <c r="S181" i="1"/>
  <c r="Y180" i="1"/>
  <c r="AD180" i="1" s="1"/>
  <c r="A181" i="1"/>
  <c r="B180" i="1"/>
  <c r="J180" i="1" s="1"/>
  <c r="K180" i="1" s="1"/>
  <c r="L180" i="1" s="1"/>
  <c r="M180" i="1" s="1"/>
  <c r="C183" i="1" l="1"/>
  <c r="S182" i="1"/>
  <c r="Y181" i="1"/>
  <c r="AD181" i="1" s="1"/>
  <c r="Q183" i="1"/>
  <c r="R182" i="1"/>
  <c r="A182" i="1"/>
  <c r="B181" i="1"/>
  <c r="J181" i="1" s="1"/>
  <c r="K181" i="1" s="1"/>
  <c r="L181" i="1" s="1"/>
  <c r="M181" i="1" s="1"/>
  <c r="AE181" i="1"/>
  <c r="Z181" i="1"/>
  <c r="AA181" i="1" s="1"/>
  <c r="AB181" i="1" s="1"/>
  <c r="AC181" i="1" s="1"/>
  <c r="A183" i="1" l="1"/>
  <c r="B182" i="1"/>
  <c r="J182" i="1" s="1"/>
  <c r="K182" i="1" s="1"/>
  <c r="L182" i="1" s="1"/>
  <c r="M182" i="1" s="1"/>
  <c r="Y182" i="1"/>
  <c r="AD182" i="1" s="1"/>
  <c r="S183" i="1"/>
  <c r="AE182" i="1"/>
  <c r="Z182" i="1"/>
  <c r="AA182" i="1" s="1"/>
  <c r="AB182" i="1" s="1"/>
  <c r="AC182" i="1" s="1"/>
  <c r="C184" i="1"/>
  <c r="I183" i="1"/>
  <c r="N183" i="1" s="1"/>
  <c r="Q184" i="1"/>
  <c r="R183" i="1"/>
  <c r="I182" i="1"/>
  <c r="N182" i="1" s="1"/>
  <c r="Y183" i="1" l="1"/>
  <c r="AD183" i="1" s="1"/>
  <c r="S184" i="1"/>
  <c r="C185" i="1"/>
  <c r="Z183" i="1"/>
  <c r="AA183" i="1" s="1"/>
  <c r="AB183" i="1" s="1"/>
  <c r="AC183" i="1" s="1"/>
  <c r="AE183" i="1"/>
  <c r="Q185" i="1"/>
  <c r="R184" i="1"/>
  <c r="A184" i="1"/>
  <c r="I184" i="1" s="1"/>
  <c r="N184" i="1" s="1"/>
  <c r="B183" i="1"/>
  <c r="J183" i="1" s="1"/>
  <c r="K183" i="1" s="1"/>
  <c r="L183" i="1" s="1"/>
  <c r="M183" i="1" s="1"/>
  <c r="Z184" i="1" l="1"/>
  <c r="AA184" i="1" s="1"/>
  <c r="AB184" i="1" s="1"/>
  <c r="AC184" i="1" s="1"/>
  <c r="AE184" i="1"/>
  <c r="R185" i="1"/>
  <c r="Q186" i="1"/>
  <c r="C186" i="1"/>
  <c r="Y184" i="1"/>
  <c r="AD184" i="1" s="1"/>
  <c r="S185" i="1"/>
  <c r="B184" i="1"/>
  <c r="J184" i="1" s="1"/>
  <c r="K184" i="1" s="1"/>
  <c r="L184" i="1" s="1"/>
  <c r="M184" i="1" s="1"/>
  <c r="A185" i="1"/>
  <c r="S186" i="1" l="1"/>
  <c r="Y185" i="1"/>
  <c r="AD185" i="1" s="1"/>
  <c r="R186" i="1"/>
  <c r="Q187" i="1"/>
  <c r="AE185" i="1"/>
  <c r="Z185" i="1"/>
  <c r="AA185" i="1" s="1"/>
  <c r="AB185" i="1" s="1"/>
  <c r="AC185" i="1" s="1"/>
  <c r="B185" i="1"/>
  <c r="J185" i="1" s="1"/>
  <c r="K185" i="1" s="1"/>
  <c r="L185" i="1" s="1"/>
  <c r="M185" i="1" s="1"/>
  <c r="A186" i="1"/>
  <c r="I185" i="1"/>
  <c r="N185" i="1" s="1"/>
  <c r="C187" i="1"/>
  <c r="A187" i="1" l="1"/>
  <c r="B186" i="1"/>
  <c r="J186" i="1" s="1"/>
  <c r="K186" i="1" s="1"/>
  <c r="L186" i="1" s="1"/>
  <c r="M186" i="1" s="1"/>
  <c r="Q188" i="1"/>
  <c r="R187" i="1"/>
  <c r="I187" i="1"/>
  <c r="N187" i="1" s="1"/>
  <c r="C188" i="1"/>
  <c r="AE186" i="1"/>
  <c r="Z186" i="1"/>
  <c r="AA186" i="1" s="1"/>
  <c r="AB186" i="1" s="1"/>
  <c r="AC186" i="1" s="1"/>
  <c r="I186" i="1"/>
  <c r="N186" i="1" s="1"/>
  <c r="S187" i="1"/>
  <c r="Y186" i="1"/>
  <c r="AD186" i="1" s="1"/>
  <c r="AE187" i="1" l="1"/>
  <c r="Z187" i="1"/>
  <c r="AA187" i="1" s="1"/>
  <c r="AB187" i="1" s="1"/>
  <c r="AC187" i="1" s="1"/>
  <c r="Q189" i="1"/>
  <c r="R188" i="1"/>
  <c r="Y187" i="1"/>
  <c r="AD187" i="1" s="1"/>
  <c r="S188" i="1"/>
  <c r="C189" i="1"/>
  <c r="I188" i="1"/>
  <c r="N188" i="1" s="1"/>
  <c r="A188" i="1"/>
  <c r="B187" i="1"/>
  <c r="J187" i="1" s="1"/>
  <c r="K187" i="1" s="1"/>
  <c r="L187" i="1" s="1"/>
  <c r="M187" i="1" s="1"/>
  <c r="Z188" i="1" l="1"/>
  <c r="AA188" i="1" s="1"/>
  <c r="AB188" i="1" s="1"/>
  <c r="AC188" i="1" s="1"/>
  <c r="AE188" i="1"/>
  <c r="C190" i="1"/>
  <c r="I189" i="1"/>
  <c r="N189" i="1" s="1"/>
  <c r="R189" i="1"/>
  <c r="Q190" i="1"/>
  <c r="Y188" i="1"/>
  <c r="AD188" i="1" s="1"/>
  <c r="S189" i="1"/>
  <c r="B188" i="1"/>
  <c r="J188" i="1" s="1"/>
  <c r="K188" i="1" s="1"/>
  <c r="L188" i="1" s="1"/>
  <c r="M188" i="1" s="1"/>
  <c r="A189" i="1"/>
  <c r="I190" i="1" l="1"/>
  <c r="N190" i="1" s="1"/>
  <c r="C191" i="1"/>
  <c r="B189" i="1"/>
  <c r="J189" i="1" s="1"/>
  <c r="K189" i="1" s="1"/>
  <c r="L189" i="1" s="1"/>
  <c r="M189" i="1" s="1"/>
  <c r="A190" i="1"/>
  <c r="R190" i="1"/>
  <c r="Q191" i="1"/>
  <c r="S190" i="1"/>
  <c r="Y189" i="1"/>
  <c r="AD189" i="1" s="1"/>
  <c r="AE189" i="1"/>
  <c r="Z189" i="1"/>
  <c r="AA189" i="1" s="1"/>
  <c r="AB189" i="1" s="1"/>
  <c r="AC189" i="1" s="1"/>
  <c r="A191" i="1" l="1"/>
  <c r="B190" i="1"/>
  <c r="J190" i="1" s="1"/>
  <c r="K190" i="1" s="1"/>
  <c r="L190" i="1" s="1"/>
  <c r="M190" i="1" s="1"/>
  <c r="AE190" i="1"/>
  <c r="Z190" i="1"/>
  <c r="AA190" i="1" s="1"/>
  <c r="AB190" i="1" s="1"/>
  <c r="AC190" i="1" s="1"/>
  <c r="S191" i="1"/>
  <c r="Y190" i="1"/>
  <c r="AD190" i="1" s="1"/>
  <c r="Q192" i="1"/>
  <c r="R191" i="1"/>
  <c r="I191" i="1"/>
  <c r="N191" i="1" s="1"/>
  <c r="C192" i="1"/>
  <c r="AE191" i="1" l="1"/>
  <c r="Z191" i="1"/>
  <c r="AA191" i="1" s="1"/>
  <c r="AB191" i="1" s="1"/>
  <c r="AC191" i="1" s="1"/>
  <c r="Q193" i="1"/>
  <c r="R192" i="1"/>
  <c r="C193" i="1"/>
  <c r="I192" i="1"/>
  <c r="N192" i="1" s="1"/>
  <c r="Y191" i="1"/>
  <c r="AD191" i="1" s="1"/>
  <c r="S192" i="1"/>
  <c r="A192" i="1"/>
  <c r="B191" i="1"/>
  <c r="J191" i="1" s="1"/>
  <c r="K191" i="1" s="1"/>
  <c r="L191" i="1" s="1"/>
  <c r="M191" i="1" s="1"/>
  <c r="S193" i="1" l="1"/>
  <c r="Y192" i="1"/>
  <c r="AD192" i="1" s="1"/>
  <c r="Z192" i="1"/>
  <c r="AA192" i="1" s="1"/>
  <c r="AB192" i="1" s="1"/>
  <c r="AC192" i="1" s="1"/>
  <c r="AE192" i="1"/>
  <c r="Q194" i="1"/>
  <c r="R193" i="1"/>
  <c r="B192" i="1"/>
  <c r="J192" i="1" s="1"/>
  <c r="K192" i="1" s="1"/>
  <c r="L192" i="1" s="1"/>
  <c r="M192" i="1" s="1"/>
  <c r="A193" i="1"/>
  <c r="C194" i="1"/>
  <c r="I193" i="1"/>
  <c r="N193" i="1" s="1"/>
  <c r="A194" i="1" l="1"/>
  <c r="B193" i="1"/>
  <c r="J193" i="1" s="1"/>
  <c r="K193" i="1" s="1"/>
  <c r="L193" i="1" s="1"/>
  <c r="M193" i="1" s="1"/>
  <c r="Z193" i="1"/>
  <c r="AA193" i="1" s="1"/>
  <c r="AB193" i="1" s="1"/>
  <c r="AC193" i="1" s="1"/>
  <c r="AE193" i="1"/>
  <c r="C195" i="1"/>
  <c r="I194" i="1"/>
  <c r="N194" i="1" s="1"/>
  <c r="R194" i="1"/>
  <c r="Q195" i="1"/>
  <c r="Y193" i="1"/>
  <c r="AD193" i="1" s="1"/>
  <c r="S194" i="1"/>
  <c r="AE194" i="1" l="1"/>
  <c r="Z194" i="1"/>
  <c r="AA194" i="1" s="1"/>
  <c r="AB194" i="1" s="1"/>
  <c r="AC194" i="1" s="1"/>
  <c r="R195" i="1"/>
  <c r="Q196" i="1"/>
  <c r="S195" i="1"/>
  <c r="Y194" i="1"/>
  <c r="AD194" i="1" s="1"/>
  <c r="I195" i="1"/>
  <c r="N195" i="1" s="1"/>
  <c r="C196" i="1"/>
  <c r="B194" i="1"/>
  <c r="J194" i="1" s="1"/>
  <c r="K194" i="1" s="1"/>
  <c r="L194" i="1" s="1"/>
  <c r="M194" i="1" s="1"/>
  <c r="A195" i="1"/>
  <c r="C197" i="1" l="1"/>
  <c r="Q197" i="1"/>
  <c r="R196" i="1"/>
  <c r="AE195" i="1"/>
  <c r="Z195" i="1"/>
  <c r="AA195" i="1" s="1"/>
  <c r="AB195" i="1" s="1"/>
  <c r="AC195" i="1" s="1"/>
  <c r="A196" i="1"/>
  <c r="B195" i="1"/>
  <c r="J195" i="1" s="1"/>
  <c r="K195" i="1" s="1"/>
  <c r="L195" i="1" s="1"/>
  <c r="M195" i="1" s="1"/>
  <c r="S196" i="1"/>
  <c r="Y195" i="1"/>
  <c r="AD195" i="1" s="1"/>
  <c r="AE196" i="1" l="1"/>
  <c r="Z196" i="1"/>
  <c r="AA196" i="1" s="1"/>
  <c r="AB196" i="1" s="1"/>
  <c r="AC196" i="1" s="1"/>
  <c r="A197" i="1"/>
  <c r="B196" i="1"/>
  <c r="J196" i="1" s="1"/>
  <c r="K196" i="1" s="1"/>
  <c r="L196" i="1" s="1"/>
  <c r="M196" i="1" s="1"/>
  <c r="Q198" i="1"/>
  <c r="R197" i="1"/>
  <c r="C198" i="1"/>
  <c r="I197" i="1"/>
  <c r="N197" i="1" s="1"/>
  <c r="Y196" i="1"/>
  <c r="AD196" i="1" s="1"/>
  <c r="S197" i="1"/>
  <c r="I196" i="1"/>
  <c r="N196" i="1" s="1"/>
  <c r="B197" i="1" l="1"/>
  <c r="J197" i="1" s="1"/>
  <c r="K197" i="1" s="1"/>
  <c r="L197" i="1" s="1"/>
  <c r="M197" i="1" s="1"/>
  <c r="A198" i="1"/>
  <c r="C199" i="1"/>
  <c r="I198" i="1"/>
  <c r="N198" i="1" s="1"/>
  <c r="Y197" i="1"/>
  <c r="AD197" i="1" s="1"/>
  <c r="S198" i="1"/>
  <c r="Z197" i="1"/>
  <c r="AA197" i="1" s="1"/>
  <c r="AB197" i="1" s="1"/>
  <c r="AC197" i="1" s="1"/>
  <c r="AE197" i="1"/>
  <c r="R198" i="1"/>
  <c r="Q199" i="1"/>
  <c r="C200" i="1" l="1"/>
  <c r="R199" i="1"/>
  <c r="Q200" i="1"/>
  <c r="S199" i="1"/>
  <c r="Y198" i="1"/>
  <c r="AD198" i="1" s="1"/>
  <c r="B198" i="1"/>
  <c r="J198" i="1" s="1"/>
  <c r="K198" i="1" s="1"/>
  <c r="L198" i="1" s="1"/>
  <c r="M198" i="1" s="1"/>
  <c r="A199" i="1"/>
  <c r="AE198" i="1"/>
  <c r="Z198" i="1"/>
  <c r="AA198" i="1" s="1"/>
  <c r="AB198" i="1" s="1"/>
  <c r="AC198" i="1" s="1"/>
  <c r="A200" i="1" l="1"/>
  <c r="B199" i="1"/>
  <c r="J199" i="1" s="1"/>
  <c r="K199" i="1" s="1"/>
  <c r="L199" i="1" s="1"/>
  <c r="M199" i="1" s="1"/>
  <c r="Q201" i="1"/>
  <c r="R200" i="1"/>
  <c r="AE199" i="1"/>
  <c r="Z199" i="1"/>
  <c r="AA199" i="1" s="1"/>
  <c r="AB199" i="1" s="1"/>
  <c r="AC199" i="1" s="1"/>
  <c r="I200" i="1"/>
  <c r="N200" i="1" s="1"/>
  <c r="C201" i="1"/>
  <c r="S200" i="1"/>
  <c r="Y199" i="1"/>
  <c r="AD199" i="1" s="1"/>
  <c r="I199" i="1"/>
  <c r="N199" i="1" s="1"/>
  <c r="C202" i="1" l="1"/>
  <c r="I201" i="1"/>
  <c r="N201" i="1" s="1"/>
  <c r="AE200" i="1"/>
  <c r="Z200" i="1"/>
  <c r="AA200" i="1" s="1"/>
  <c r="AB200" i="1" s="1"/>
  <c r="AC200" i="1" s="1"/>
  <c r="Q202" i="1"/>
  <c r="R201" i="1"/>
  <c r="Y200" i="1"/>
  <c r="AD200" i="1" s="1"/>
  <c r="S201" i="1"/>
  <c r="A201" i="1"/>
  <c r="B200" i="1"/>
  <c r="J200" i="1" s="1"/>
  <c r="K200" i="1" s="1"/>
  <c r="L200" i="1" s="1"/>
  <c r="M200" i="1" s="1"/>
  <c r="Y201" i="1" l="1"/>
  <c r="AD201" i="1" s="1"/>
  <c r="S202" i="1"/>
  <c r="Z201" i="1"/>
  <c r="AA201" i="1" s="1"/>
  <c r="AB201" i="1" s="1"/>
  <c r="AC201" i="1" s="1"/>
  <c r="AE201" i="1"/>
  <c r="B201" i="1"/>
  <c r="J201" i="1" s="1"/>
  <c r="K201" i="1" s="1"/>
  <c r="L201" i="1" s="1"/>
  <c r="M201" i="1" s="1"/>
  <c r="A202" i="1"/>
  <c r="R202" i="1"/>
  <c r="Q203" i="1"/>
  <c r="C203" i="1"/>
  <c r="I202" i="1"/>
  <c r="N202" i="1" s="1"/>
  <c r="C204" i="1" l="1"/>
  <c r="R203" i="1"/>
  <c r="Q204" i="1"/>
  <c r="AE202" i="1"/>
  <c r="Z202" i="1"/>
  <c r="AA202" i="1" s="1"/>
  <c r="AB202" i="1" s="1"/>
  <c r="AC202" i="1" s="1"/>
  <c r="B202" i="1"/>
  <c r="J202" i="1" s="1"/>
  <c r="K202" i="1" s="1"/>
  <c r="L202" i="1" s="1"/>
  <c r="M202" i="1" s="1"/>
  <c r="A203" i="1"/>
  <c r="S203" i="1"/>
  <c r="Y202" i="1"/>
  <c r="AD202" i="1" s="1"/>
  <c r="Q205" i="1" l="1"/>
  <c r="R205" i="1" s="1"/>
  <c r="R204" i="1"/>
  <c r="AE203" i="1"/>
  <c r="Z203" i="1"/>
  <c r="AA203" i="1" s="1"/>
  <c r="AB203" i="1" s="1"/>
  <c r="AC203" i="1" s="1"/>
  <c r="A204" i="1"/>
  <c r="I204" i="1" s="1"/>
  <c r="N204" i="1" s="1"/>
  <c r="B203" i="1"/>
  <c r="J203" i="1" s="1"/>
  <c r="K203" i="1" s="1"/>
  <c r="L203" i="1" s="1"/>
  <c r="M203" i="1" s="1"/>
  <c r="C205" i="1"/>
  <c r="S204" i="1"/>
  <c r="Y203" i="1"/>
  <c r="AD203" i="1" s="1"/>
  <c r="I203" i="1"/>
  <c r="N203" i="1" s="1"/>
  <c r="AE204" i="1" l="1"/>
  <c r="Z204" i="1"/>
  <c r="AA204" i="1" s="1"/>
  <c r="AB204" i="1" s="1"/>
  <c r="AC204" i="1" s="1"/>
  <c r="Y204" i="1"/>
  <c r="AD204" i="1" s="1"/>
  <c r="S205" i="1"/>
  <c r="Y205" i="1" s="1"/>
  <c r="AD205" i="1" s="1"/>
  <c r="A205" i="1"/>
  <c r="B205" i="1" s="1"/>
  <c r="J205" i="1" s="1"/>
  <c r="K205" i="1" s="1"/>
  <c r="L205" i="1" s="1"/>
  <c r="M205" i="1" s="1"/>
  <c r="B204" i="1"/>
  <c r="J204" i="1" s="1"/>
  <c r="K204" i="1" s="1"/>
  <c r="L204" i="1" s="1"/>
  <c r="M204" i="1" s="1"/>
  <c r="AE205" i="1"/>
  <c r="Z205" i="1"/>
  <c r="AA205" i="1" s="1"/>
  <c r="AB205" i="1" s="1"/>
  <c r="AC205" i="1" s="1"/>
  <c r="I205" i="1" l="1"/>
  <c r="N205" i="1" s="1"/>
</calcChain>
</file>

<file path=xl/sharedStrings.xml><?xml version="1.0" encoding="utf-8"?>
<sst xmlns="http://schemas.openxmlformats.org/spreadsheetml/2006/main" count="27" uniqueCount="12">
  <si>
    <t>z (km)</t>
  </si>
  <si>
    <t>z (m)</t>
  </si>
  <si>
    <t>Ts (K)</t>
  </si>
  <si>
    <t>K</t>
  </si>
  <si>
    <t>Ao</t>
  </si>
  <si>
    <t>Qo</t>
  </si>
  <si>
    <t>D</t>
  </si>
  <si>
    <t>T(z, K)</t>
  </si>
  <si>
    <t>D (kg/m3)</t>
  </si>
  <si>
    <t>P (GPa)</t>
  </si>
  <si>
    <t>P (kbar)</t>
  </si>
  <si>
    <t>T (z, 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</si>
</sst>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" fontId="0" fillId="0" borderId="0" xfId="0" applyNumberFormat="1"/>
    <xf numFmtId="2" fontId="0" fillId="0" borderId="0" xfId="0" applyNumberFormat="1"/>
    <xf numFmtId="2" fontId="0" fillId="2" borderId="0" xfId="0" applyNumberFormat="1" applyFill="1"/>
    <xf numFmtId="2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2603711723534558"/>
                  <c:y val="8.291666666666666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P(kbar) = 0.3236z(km) + 3E-14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[1]Geotherm!$A$2:$A$205</c:f>
              <c:numCache>
                <c:formatCode>General</c:formatCod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numCache>
            </c:numRef>
          </c:xVal>
          <c:yVal>
            <c:numRef>
              <c:f>[1]Geotherm!$M$2:$M$205</c:f>
              <c:numCache>
                <c:formatCode>0.00</c:formatCode>
                <c:ptCount val="204"/>
                <c:pt idx="0">
                  <c:v>0.32361945000000003</c:v>
                </c:pt>
                <c:pt idx="1">
                  <c:v>0.64723890000000006</c:v>
                </c:pt>
                <c:pt idx="2">
                  <c:v>0.97085834999999998</c:v>
                </c:pt>
                <c:pt idx="3">
                  <c:v>1.2944778000000001</c:v>
                </c:pt>
                <c:pt idx="4">
                  <c:v>1.6180972499999999</c:v>
                </c:pt>
                <c:pt idx="5">
                  <c:v>1.9417167</c:v>
                </c:pt>
                <c:pt idx="6">
                  <c:v>2.26533615</c:v>
                </c:pt>
                <c:pt idx="7">
                  <c:v>2.5889556000000002</c:v>
                </c:pt>
                <c:pt idx="8">
                  <c:v>2.9125750500000001</c:v>
                </c:pt>
                <c:pt idx="9">
                  <c:v>3.2361944999999999</c:v>
                </c:pt>
                <c:pt idx="10">
                  <c:v>3.5598139499999997</c:v>
                </c:pt>
                <c:pt idx="11">
                  <c:v>3.8834333999999999</c:v>
                </c:pt>
                <c:pt idx="12">
                  <c:v>4.2070528500000002</c:v>
                </c:pt>
                <c:pt idx="13">
                  <c:v>4.5306723</c:v>
                </c:pt>
                <c:pt idx="14">
                  <c:v>4.8542917499999998</c:v>
                </c:pt>
                <c:pt idx="15">
                  <c:v>5.1779112000000005</c:v>
                </c:pt>
                <c:pt idx="16">
                  <c:v>5.5015306500000003</c:v>
                </c:pt>
                <c:pt idx="17">
                  <c:v>5.8251501000000001</c:v>
                </c:pt>
                <c:pt idx="18">
                  <c:v>6.148769549999999</c:v>
                </c:pt>
                <c:pt idx="19">
                  <c:v>6.4723889999999997</c:v>
                </c:pt>
                <c:pt idx="20">
                  <c:v>6.7960084499999995</c:v>
                </c:pt>
                <c:pt idx="21">
                  <c:v>7.1196278999999993</c:v>
                </c:pt>
                <c:pt idx="22">
                  <c:v>7.44324735</c:v>
                </c:pt>
                <c:pt idx="23">
                  <c:v>7.7668667999999998</c:v>
                </c:pt>
                <c:pt idx="24">
                  <c:v>8.0904862499999997</c:v>
                </c:pt>
                <c:pt idx="25">
                  <c:v>8.4141057000000004</c:v>
                </c:pt>
                <c:pt idx="26">
                  <c:v>8.7377251499999993</c:v>
                </c:pt>
                <c:pt idx="27">
                  <c:v>9.0613446</c:v>
                </c:pt>
                <c:pt idx="28">
                  <c:v>9.3849640500000007</c:v>
                </c:pt>
                <c:pt idx="29">
                  <c:v>9.7085834999999996</c:v>
                </c:pt>
                <c:pt idx="30">
                  <c:v>10.03220295</c:v>
                </c:pt>
                <c:pt idx="31">
                  <c:v>10.355822400000001</c:v>
                </c:pt>
                <c:pt idx="32">
                  <c:v>10.67944185</c:v>
                </c:pt>
                <c:pt idx="33">
                  <c:v>11.003061300000001</c:v>
                </c:pt>
                <c:pt idx="34">
                  <c:v>11.32668075</c:v>
                </c:pt>
                <c:pt idx="35">
                  <c:v>11.6503002</c:v>
                </c:pt>
                <c:pt idx="36">
                  <c:v>11.973919649999999</c:v>
                </c:pt>
                <c:pt idx="37">
                  <c:v>12.297539099999998</c:v>
                </c:pt>
                <c:pt idx="38">
                  <c:v>12.621158550000001</c:v>
                </c:pt>
                <c:pt idx="39">
                  <c:v>12.944777999999999</c:v>
                </c:pt>
                <c:pt idx="40">
                  <c:v>13.26839745</c:v>
                </c:pt>
                <c:pt idx="41">
                  <c:v>13.592016899999999</c:v>
                </c:pt>
                <c:pt idx="42">
                  <c:v>13.91563635</c:v>
                </c:pt>
                <c:pt idx="43">
                  <c:v>14.239255799999999</c:v>
                </c:pt>
                <c:pt idx="44">
                  <c:v>14.562875250000001</c:v>
                </c:pt>
                <c:pt idx="45">
                  <c:v>14.8864947</c:v>
                </c:pt>
                <c:pt idx="46">
                  <c:v>15.210114150000001</c:v>
                </c:pt>
                <c:pt idx="47">
                  <c:v>15.5337336</c:v>
                </c:pt>
                <c:pt idx="48">
                  <c:v>15.85735305</c:v>
                </c:pt>
                <c:pt idx="49">
                  <c:v>16.180972499999999</c:v>
                </c:pt>
                <c:pt idx="50">
                  <c:v>16.504591950000002</c:v>
                </c:pt>
                <c:pt idx="51">
                  <c:v>16.828211400000001</c:v>
                </c:pt>
                <c:pt idx="52">
                  <c:v>17.15183085</c:v>
                </c:pt>
                <c:pt idx="53">
                  <c:v>17.475450299999999</c:v>
                </c:pt>
                <c:pt idx="54">
                  <c:v>17.799069750000001</c:v>
                </c:pt>
                <c:pt idx="55">
                  <c:v>18.1226892</c:v>
                </c:pt>
                <c:pt idx="56">
                  <c:v>18.446308649999999</c:v>
                </c:pt>
                <c:pt idx="57">
                  <c:v>18.769928100000001</c:v>
                </c:pt>
                <c:pt idx="58">
                  <c:v>19.09354755</c:v>
                </c:pt>
                <c:pt idx="59">
                  <c:v>19.417166999999999</c:v>
                </c:pt>
                <c:pt idx="60">
                  <c:v>19.740786450000002</c:v>
                </c:pt>
                <c:pt idx="61">
                  <c:v>20.064405900000001</c:v>
                </c:pt>
                <c:pt idx="62">
                  <c:v>20.388025349999999</c:v>
                </c:pt>
                <c:pt idx="63">
                  <c:v>20.711644800000002</c:v>
                </c:pt>
                <c:pt idx="64">
                  <c:v>21.035264250000001</c:v>
                </c:pt>
                <c:pt idx="65">
                  <c:v>21.3588837</c:v>
                </c:pt>
                <c:pt idx="66">
                  <c:v>21.682503149999999</c:v>
                </c:pt>
                <c:pt idx="67">
                  <c:v>22.006122600000001</c:v>
                </c:pt>
                <c:pt idx="68">
                  <c:v>22.32974205</c:v>
                </c:pt>
                <c:pt idx="69">
                  <c:v>22.653361499999999</c:v>
                </c:pt>
                <c:pt idx="70">
                  <c:v>22.976980949999998</c:v>
                </c:pt>
                <c:pt idx="71">
                  <c:v>23.3006004</c:v>
                </c:pt>
                <c:pt idx="72">
                  <c:v>23.624219850000003</c:v>
                </c:pt>
                <c:pt idx="73">
                  <c:v>23.947839299999998</c:v>
                </c:pt>
                <c:pt idx="74">
                  <c:v>24.271458750000001</c:v>
                </c:pt>
                <c:pt idx="75">
                  <c:v>24.595078199999996</c:v>
                </c:pt>
                <c:pt idx="76">
                  <c:v>24.918697650000002</c:v>
                </c:pt>
                <c:pt idx="77">
                  <c:v>25.242317100000001</c:v>
                </c:pt>
                <c:pt idx="78">
                  <c:v>25.56593655</c:v>
                </c:pt>
                <c:pt idx="79">
                  <c:v>25.889555999999999</c:v>
                </c:pt>
                <c:pt idx="80">
                  <c:v>26.213175450000001</c:v>
                </c:pt>
                <c:pt idx="81">
                  <c:v>26.5367949</c:v>
                </c:pt>
                <c:pt idx="82">
                  <c:v>26.860414349999999</c:v>
                </c:pt>
                <c:pt idx="83">
                  <c:v>27.184033799999998</c:v>
                </c:pt>
                <c:pt idx="84">
                  <c:v>27.507653250000001</c:v>
                </c:pt>
                <c:pt idx="85">
                  <c:v>27.8312727</c:v>
                </c:pt>
                <c:pt idx="86">
                  <c:v>28.154892149999998</c:v>
                </c:pt>
                <c:pt idx="87">
                  <c:v>28.478511599999997</c:v>
                </c:pt>
                <c:pt idx="88">
                  <c:v>28.80213105</c:v>
                </c:pt>
                <c:pt idx="89">
                  <c:v>29.125750500000002</c:v>
                </c:pt>
                <c:pt idx="90">
                  <c:v>29.449369949999998</c:v>
                </c:pt>
                <c:pt idx="91">
                  <c:v>29.7729894</c:v>
                </c:pt>
                <c:pt idx="92">
                  <c:v>30.096608850000003</c:v>
                </c:pt>
                <c:pt idx="93">
                  <c:v>30.420228300000002</c:v>
                </c:pt>
                <c:pt idx="94">
                  <c:v>30.74384775</c:v>
                </c:pt>
                <c:pt idx="95">
                  <c:v>31.067467199999999</c:v>
                </c:pt>
                <c:pt idx="96">
                  <c:v>31.391086650000002</c:v>
                </c:pt>
                <c:pt idx="97">
                  <c:v>31.714706100000001</c:v>
                </c:pt>
                <c:pt idx="98">
                  <c:v>32.038325549999996</c:v>
                </c:pt>
                <c:pt idx="99">
                  <c:v>32.361944999999999</c:v>
                </c:pt>
                <c:pt idx="100">
                  <c:v>32.685564450000001</c:v>
                </c:pt>
                <c:pt idx="101">
                  <c:v>33.009183900000004</c:v>
                </c:pt>
                <c:pt idx="102">
                  <c:v>33.332803349999999</c:v>
                </c:pt>
                <c:pt idx="103">
                  <c:v>33.656422800000001</c:v>
                </c:pt>
                <c:pt idx="104">
                  <c:v>33.980042250000004</c:v>
                </c:pt>
                <c:pt idx="105">
                  <c:v>34.303661699999999</c:v>
                </c:pt>
                <c:pt idx="106">
                  <c:v>34.627281150000002</c:v>
                </c:pt>
                <c:pt idx="107">
                  <c:v>34.950900599999997</c:v>
                </c:pt>
                <c:pt idx="108">
                  <c:v>35.27452005</c:v>
                </c:pt>
                <c:pt idx="109">
                  <c:v>35.598139500000002</c:v>
                </c:pt>
                <c:pt idx="110">
                  <c:v>35.921758949999997</c:v>
                </c:pt>
                <c:pt idx="111">
                  <c:v>36.2453784</c:v>
                </c:pt>
                <c:pt idx="112">
                  <c:v>36.568997849999995</c:v>
                </c:pt>
                <c:pt idx="113">
                  <c:v>36.892617299999998</c:v>
                </c:pt>
                <c:pt idx="114">
                  <c:v>37.21623675</c:v>
                </c:pt>
                <c:pt idx="115">
                  <c:v>37.539856200000003</c:v>
                </c:pt>
                <c:pt idx="116">
                  <c:v>37.863475649999998</c:v>
                </c:pt>
                <c:pt idx="117">
                  <c:v>38.187095100000001</c:v>
                </c:pt>
                <c:pt idx="118">
                  <c:v>38.510714550000003</c:v>
                </c:pt>
                <c:pt idx="119">
                  <c:v>38.834333999999998</c:v>
                </c:pt>
                <c:pt idx="120">
                  <c:v>39.157953450000001</c:v>
                </c:pt>
                <c:pt idx="121">
                  <c:v>39.481572900000003</c:v>
                </c:pt>
                <c:pt idx="122">
                  <c:v>39.805192349999999</c:v>
                </c:pt>
                <c:pt idx="123">
                  <c:v>40.128811800000001</c:v>
                </c:pt>
                <c:pt idx="124">
                  <c:v>40.452431249999997</c:v>
                </c:pt>
                <c:pt idx="125">
                  <c:v>40.776050699999999</c:v>
                </c:pt>
                <c:pt idx="126">
                  <c:v>41.099670149999994</c:v>
                </c:pt>
                <c:pt idx="127">
                  <c:v>41.423289600000004</c:v>
                </c:pt>
                <c:pt idx="128">
                  <c:v>41.746909049999999</c:v>
                </c:pt>
                <c:pt idx="129">
                  <c:v>42.070528500000002</c:v>
                </c:pt>
                <c:pt idx="130">
                  <c:v>42.394147950000004</c:v>
                </c:pt>
                <c:pt idx="131">
                  <c:v>42.7177674</c:v>
                </c:pt>
                <c:pt idx="132">
                  <c:v>43.041386849999995</c:v>
                </c:pt>
                <c:pt idx="133">
                  <c:v>43.365006299999997</c:v>
                </c:pt>
                <c:pt idx="134">
                  <c:v>43.68862575</c:v>
                </c:pt>
                <c:pt idx="135">
                  <c:v>44.012245200000002</c:v>
                </c:pt>
                <c:pt idx="136">
                  <c:v>44.335864650000005</c:v>
                </c:pt>
                <c:pt idx="137">
                  <c:v>44.6594841</c:v>
                </c:pt>
                <c:pt idx="138">
                  <c:v>44.983103550000003</c:v>
                </c:pt>
                <c:pt idx="139">
                  <c:v>45.306722999999998</c:v>
                </c:pt>
                <c:pt idx="140">
                  <c:v>45.630342450000001</c:v>
                </c:pt>
                <c:pt idx="141">
                  <c:v>45.953961899999996</c:v>
                </c:pt>
                <c:pt idx="142">
                  <c:v>46.277581349999998</c:v>
                </c:pt>
                <c:pt idx="143">
                  <c:v>46.601200800000001</c:v>
                </c:pt>
                <c:pt idx="144">
                  <c:v>46.924820250000003</c:v>
                </c:pt>
                <c:pt idx="145">
                  <c:v>47.248439700000006</c:v>
                </c:pt>
                <c:pt idx="146">
                  <c:v>47.572059150000001</c:v>
                </c:pt>
                <c:pt idx="147">
                  <c:v>47.895678599999997</c:v>
                </c:pt>
                <c:pt idx="148">
                  <c:v>48.219298049999999</c:v>
                </c:pt>
                <c:pt idx="149">
                  <c:v>48.542917500000001</c:v>
                </c:pt>
                <c:pt idx="150">
                  <c:v>48.866536949999997</c:v>
                </c:pt>
                <c:pt idx="151">
                  <c:v>49.190156399999992</c:v>
                </c:pt>
                <c:pt idx="152">
                  <c:v>49.513775850000002</c:v>
                </c:pt>
                <c:pt idx="153">
                  <c:v>49.837395300000004</c:v>
                </c:pt>
                <c:pt idx="154">
                  <c:v>50.16101475</c:v>
                </c:pt>
                <c:pt idx="155">
                  <c:v>50.484634200000002</c:v>
                </c:pt>
                <c:pt idx="156">
                  <c:v>50.808253649999997</c:v>
                </c:pt>
                <c:pt idx="157">
                  <c:v>51.1318731</c:v>
                </c:pt>
                <c:pt idx="158">
                  <c:v>51.455492549999995</c:v>
                </c:pt>
                <c:pt idx="159">
                  <c:v>51.779111999999998</c:v>
                </c:pt>
                <c:pt idx="160">
                  <c:v>52.102731450000007</c:v>
                </c:pt>
                <c:pt idx="161">
                  <c:v>52.426350900000003</c:v>
                </c:pt>
                <c:pt idx="162">
                  <c:v>52.749970349999998</c:v>
                </c:pt>
                <c:pt idx="163">
                  <c:v>53.073589800000001</c:v>
                </c:pt>
                <c:pt idx="164">
                  <c:v>53.397209250000003</c:v>
                </c:pt>
                <c:pt idx="165">
                  <c:v>53.720828699999998</c:v>
                </c:pt>
                <c:pt idx="166">
                  <c:v>54.044448149999994</c:v>
                </c:pt>
                <c:pt idx="167">
                  <c:v>54.368067599999996</c:v>
                </c:pt>
                <c:pt idx="168">
                  <c:v>54.691687050000006</c:v>
                </c:pt>
                <c:pt idx="169">
                  <c:v>55.015306500000001</c:v>
                </c:pt>
                <c:pt idx="170">
                  <c:v>55.338925950000004</c:v>
                </c:pt>
                <c:pt idx="171">
                  <c:v>55.662545399999999</c:v>
                </c:pt>
                <c:pt idx="172">
                  <c:v>55.986164850000002</c:v>
                </c:pt>
                <c:pt idx="173">
                  <c:v>56.309784299999997</c:v>
                </c:pt>
                <c:pt idx="174">
                  <c:v>56.633403749999999</c:v>
                </c:pt>
                <c:pt idx="175">
                  <c:v>56.957023199999995</c:v>
                </c:pt>
                <c:pt idx="176">
                  <c:v>57.280642650000004</c:v>
                </c:pt>
                <c:pt idx="177">
                  <c:v>57.6042621</c:v>
                </c:pt>
                <c:pt idx="178">
                  <c:v>57.927881550000002</c:v>
                </c:pt>
                <c:pt idx="179">
                  <c:v>58.251501000000005</c:v>
                </c:pt>
                <c:pt idx="180">
                  <c:v>58.57512045</c:v>
                </c:pt>
                <c:pt idx="181">
                  <c:v>58.898739899999995</c:v>
                </c:pt>
                <c:pt idx="182">
                  <c:v>59.222359349999998</c:v>
                </c:pt>
                <c:pt idx="183">
                  <c:v>59.5459788</c:v>
                </c:pt>
                <c:pt idx="184">
                  <c:v>59.869598249999996</c:v>
                </c:pt>
                <c:pt idx="185">
                  <c:v>60.193217700000005</c:v>
                </c:pt>
                <c:pt idx="186">
                  <c:v>60.516837150000001</c:v>
                </c:pt>
                <c:pt idx="187">
                  <c:v>60.840456600000003</c:v>
                </c:pt>
                <c:pt idx="188">
                  <c:v>61.164076049999998</c:v>
                </c:pt>
                <c:pt idx="189">
                  <c:v>61.487695500000001</c:v>
                </c:pt>
                <c:pt idx="190">
                  <c:v>61.811314949999996</c:v>
                </c:pt>
                <c:pt idx="191">
                  <c:v>62.134934399999999</c:v>
                </c:pt>
                <c:pt idx="192">
                  <c:v>62.458553849999994</c:v>
                </c:pt>
                <c:pt idx="193">
                  <c:v>62.782173300000004</c:v>
                </c:pt>
                <c:pt idx="194">
                  <c:v>63.105792750000006</c:v>
                </c:pt>
                <c:pt idx="195">
                  <c:v>63.429412200000002</c:v>
                </c:pt>
                <c:pt idx="196">
                  <c:v>63.753031649999997</c:v>
                </c:pt>
                <c:pt idx="197">
                  <c:v>64.076651099999992</c:v>
                </c:pt>
                <c:pt idx="198">
                  <c:v>64.400270550000002</c:v>
                </c:pt>
                <c:pt idx="199">
                  <c:v>64.723889999999997</c:v>
                </c:pt>
                <c:pt idx="200">
                  <c:v>65.047509449999993</c:v>
                </c:pt>
                <c:pt idx="201">
                  <c:v>65.371128900000002</c:v>
                </c:pt>
                <c:pt idx="202">
                  <c:v>65.694748349999998</c:v>
                </c:pt>
                <c:pt idx="203">
                  <c:v>66.018367800000007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82-4152-AB04-7FA376CCC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56832"/>
        <c:axId val="91557248"/>
      </c:scatterChart>
      <c:valAx>
        <c:axId val="9155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7248"/>
        <c:crosses val="autoZero"/>
        <c:crossBetween val="midCat"/>
      </c:valAx>
      <c:valAx>
        <c:axId val="915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7213845144356955"/>
                  <c:y val="0.1030165500145815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Z(km) = 3.09P(kbar) - 2E-13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[1]Geotherm!$M$2:$M$205</c:f>
              <c:numCache>
                <c:formatCode>0.00</c:formatCode>
                <c:ptCount val="204"/>
                <c:pt idx="0">
                  <c:v>0.32361945000000003</c:v>
                </c:pt>
                <c:pt idx="1">
                  <c:v>0.64723890000000006</c:v>
                </c:pt>
                <c:pt idx="2">
                  <c:v>0.97085834999999998</c:v>
                </c:pt>
                <c:pt idx="3">
                  <c:v>1.2944778000000001</c:v>
                </c:pt>
                <c:pt idx="4">
                  <c:v>1.6180972499999999</c:v>
                </c:pt>
                <c:pt idx="5">
                  <c:v>1.9417167</c:v>
                </c:pt>
                <c:pt idx="6">
                  <c:v>2.26533615</c:v>
                </c:pt>
                <c:pt idx="7">
                  <c:v>2.5889556000000002</c:v>
                </c:pt>
                <c:pt idx="8">
                  <c:v>2.9125750500000001</c:v>
                </c:pt>
                <c:pt idx="9">
                  <c:v>3.2361944999999999</c:v>
                </c:pt>
                <c:pt idx="10">
                  <c:v>3.5598139499999997</c:v>
                </c:pt>
                <c:pt idx="11">
                  <c:v>3.8834333999999999</c:v>
                </c:pt>
                <c:pt idx="12">
                  <c:v>4.2070528500000002</c:v>
                </c:pt>
                <c:pt idx="13">
                  <c:v>4.5306723</c:v>
                </c:pt>
                <c:pt idx="14">
                  <c:v>4.8542917499999998</c:v>
                </c:pt>
                <c:pt idx="15">
                  <c:v>5.1779112000000005</c:v>
                </c:pt>
                <c:pt idx="16">
                  <c:v>5.5015306500000003</c:v>
                </c:pt>
                <c:pt idx="17">
                  <c:v>5.8251501000000001</c:v>
                </c:pt>
                <c:pt idx="18">
                  <c:v>6.148769549999999</c:v>
                </c:pt>
                <c:pt idx="19">
                  <c:v>6.4723889999999997</c:v>
                </c:pt>
                <c:pt idx="20">
                  <c:v>6.7960084499999995</c:v>
                </c:pt>
                <c:pt idx="21">
                  <c:v>7.1196278999999993</c:v>
                </c:pt>
                <c:pt idx="22">
                  <c:v>7.44324735</c:v>
                </c:pt>
                <c:pt idx="23">
                  <c:v>7.7668667999999998</c:v>
                </c:pt>
                <c:pt idx="24">
                  <c:v>8.0904862499999997</c:v>
                </c:pt>
                <c:pt idx="25">
                  <c:v>8.4141057000000004</c:v>
                </c:pt>
                <c:pt idx="26">
                  <c:v>8.7377251499999993</c:v>
                </c:pt>
                <c:pt idx="27">
                  <c:v>9.0613446</c:v>
                </c:pt>
                <c:pt idx="28">
                  <c:v>9.3849640500000007</c:v>
                </c:pt>
                <c:pt idx="29">
                  <c:v>9.7085834999999996</c:v>
                </c:pt>
                <c:pt idx="30">
                  <c:v>10.03220295</c:v>
                </c:pt>
                <c:pt idx="31">
                  <c:v>10.355822400000001</c:v>
                </c:pt>
                <c:pt idx="32">
                  <c:v>10.67944185</c:v>
                </c:pt>
                <c:pt idx="33">
                  <c:v>11.003061300000001</c:v>
                </c:pt>
                <c:pt idx="34">
                  <c:v>11.32668075</c:v>
                </c:pt>
                <c:pt idx="35">
                  <c:v>11.6503002</c:v>
                </c:pt>
                <c:pt idx="36">
                  <c:v>11.973919649999999</c:v>
                </c:pt>
                <c:pt idx="37">
                  <c:v>12.297539099999998</c:v>
                </c:pt>
                <c:pt idx="38">
                  <c:v>12.621158550000001</c:v>
                </c:pt>
                <c:pt idx="39">
                  <c:v>12.944777999999999</c:v>
                </c:pt>
                <c:pt idx="40">
                  <c:v>13.26839745</c:v>
                </c:pt>
                <c:pt idx="41">
                  <c:v>13.592016899999999</c:v>
                </c:pt>
                <c:pt idx="42">
                  <c:v>13.91563635</c:v>
                </c:pt>
                <c:pt idx="43">
                  <c:v>14.239255799999999</c:v>
                </c:pt>
                <c:pt idx="44">
                  <c:v>14.562875250000001</c:v>
                </c:pt>
                <c:pt idx="45">
                  <c:v>14.8864947</c:v>
                </c:pt>
                <c:pt idx="46">
                  <c:v>15.210114150000001</c:v>
                </c:pt>
                <c:pt idx="47">
                  <c:v>15.5337336</c:v>
                </c:pt>
                <c:pt idx="48">
                  <c:v>15.85735305</c:v>
                </c:pt>
                <c:pt idx="49">
                  <c:v>16.180972499999999</c:v>
                </c:pt>
                <c:pt idx="50">
                  <c:v>16.504591950000002</c:v>
                </c:pt>
                <c:pt idx="51">
                  <c:v>16.828211400000001</c:v>
                </c:pt>
                <c:pt idx="52">
                  <c:v>17.15183085</c:v>
                </c:pt>
                <c:pt idx="53">
                  <c:v>17.475450299999999</c:v>
                </c:pt>
                <c:pt idx="54">
                  <c:v>17.799069750000001</c:v>
                </c:pt>
                <c:pt idx="55">
                  <c:v>18.1226892</c:v>
                </c:pt>
                <c:pt idx="56">
                  <c:v>18.446308649999999</c:v>
                </c:pt>
                <c:pt idx="57">
                  <c:v>18.769928100000001</c:v>
                </c:pt>
                <c:pt idx="58">
                  <c:v>19.09354755</c:v>
                </c:pt>
                <c:pt idx="59">
                  <c:v>19.417166999999999</c:v>
                </c:pt>
                <c:pt idx="60">
                  <c:v>19.740786450000002</c:v>
                </c:pt>
                <c:pt idx="61">
                  <c:v>20.064405900000001</c:v>
                </c:pt>
                <c:pt idx="62">
                  <c:v>20.388025349999999</c:v>
                </c:pt>
                <c:pt idx="63">
                  <c:v>20.711644800000002</c:v>
                </c:pt>
                <c:pt idx="64">
                  <c:v>21.035264250000001</c:v>
                </c:pt>
                <c:pt idx="65">
                  <c:v>21.3588837</c:v>
                </c:pt>
                <c:pt idx="66">
                  <c:v>21.682503149999999</c:v>
                </c:pt>
                <c:pt idx="67">
                  <c:v>22.006122600000001</c:v>
                </c:pt>
                <c:pt idx="68">
                  <c:v>22.32974205</c:v>
                </c:pt>
                <c:pt idx="69">
                  <c:v>22.653361499999999</c:v>
                </c:pt>
                <c:pt idx="70">
                  <c:v>22.976980949999998</c:v>
                </c:pt>
                <c:pt idx="71">
                  <c:v>23.3006004</c:v>
                </c:pt>
                <c:pt idx="72">
                  <c:v>23.624219850000003</c:v>
                </c:pt>
                <c:pt idx="73">
                  <c:v>23.947839299999998</c:v>
                </c:pt>
                <c:pt idx="74">
                  <c:v>24.271458750000001</c:v>
                </c:pt>
                <c:pt idx="75">
                  <c:v>24.595078199999996</c:v>
                </c:pt>
                <c:pt idx="76">
                  <c:v>24.918697650000002</c:v>
                </c:pt>
                <c:pt idx="77">
                  <c:v>25.242317100000001</c:v>
                </c:pt>
                <c:pt idx="78">
                  <c:v>25.56593655</c:v>
                </c:pt>
                <c:pt idx="79">
                  <c:v>25.889555999999999</c:v>
                </c:pt>
                <c:pt idx="80">
                  <c:v>26.213175450000001</c:v>
                </c:pt>
                <c:pt idx="81">
                  <c:v>26.5367949</c:v>
                </c:pt>
                <c:pt idx="82">
                  <c:v>26.860414349999999</c:v>
                </c:pt>
                <c:pt idx="83">
                  <c:v>27.184033799999998</c:v>
                </c:pt>
                <c:pt idx="84">
                  <c:v>27.507653250000001</c:v>
                </c:pt>
                <c:pt idx="85">
                  <c:v>27.8312727</c:v>
                </c:pt>
                <c:pt idx="86">
                  <c:v>28.154892149999998</c:v>
                </c:pt>
                <c:pt idx="87">
                  <c:v>28.478511599999997</c:v>
                </c:pt>
                <c:pt idx="88">
                  <c:v>28.80213105</c:v>
                </c:pt>
                <c:pt idx="89">
                  <c:v>29.125750500000002</c:v>
                </c:pt>
                <c:pt idx="90">
                  <c:v>29.449369949999998</c:v>
                </c:pt>
                <c:pt idx="91">
                  <c:v>29.7729894</c:v>
                </c:pt>
                <c:pt idx="92">
                  <c:v>30.096608850000003</c:v>
                </c:pt>
                <c:pt idx="93">
                  <c:v>30.420228300000002</c:v>
                </c:pt>
                <c:pt idx="94">
                  <c:v>30.74384775</c:v>
                </c:pt>
                <c:pt idx="95">
                  <c:v>31.067467199999999</c:v>
                </c:pt>
                <c:pt idx="96">
                  <c:v>31.391086650000002</c:v>
                </c:pt>
                <c:pt idx="97">
                  <c:v>31.714706100000001</c:v>
                </c:pt>
                <c:pt idx="98">
                  <c:v>32.038325549999996</c:v>
                </c:pt>
                <c:pt idx="99">
                  <c:v>32.361944999999999</c:v>
                </c:pt>
                <c:pt idx="100">
                  <c:v>32.685564450000001</c:v>
                </c:pt>
                <c:pt idx="101">
                  <c:v>33.009183900000004</c:v>
                </c:pt>
                <c:pt idx="102">
                  <c:v>33.332803349999999</c:v>
                </c:pt>
                <c:pt idx="103">
                  <c:v>33.656422800000001</c:v>
                </c:pt>
                <c:pt idx="104">
                  <c:v>33.980042250000004</c:v>
                </c:pt>
                <c:pt idx="105">
                  <c:v>34.303661699999999</c:v>
                </c:pt>
                <c:pt idx="106">
                  <c:v>34.627281150000002</c:v>
                </c:pt>
                <c:pt idx="107">
                  <c:v>34.950900599999997</c:v>
                </c:pt>
                <c:pt idx="108">
                  <c:v>35.27452005</c:v>
                </c:pt>
                <c:pt idx="109">
                  <c:v>35.598139500000002</c:v>
                </c:pt>
                <c:pt idx="110">
                  <c:v>35.921758949999997</c:v>
                </c:pt>
                <c:pt idx="111">
                  <c:v>36.2453784</c:v>
                </c:pt>
                <c:pt idx="112">
                  <c:v>36.568997849999995</c:v>
                </c:pt>
                <c:pt idx="113">
                  <c:v>36.892617299999998</c:v>
                </c:pt>
                <c:pt idx="114">
                  <c:v>37.21623675</c:v>
                </c:pt>
                <c:pt idx="115">
                  <c:v>37.539856200000003</c:v>
                </c:pt>
                <c:pt idx="116">
                  <c:v>37.863475649999998</c:v>
                </c:pt>
                <c:pt idx="117">
                  <c:v>38.187095100000001</c:v>
                </c:pt>
                <c:pt idx="118">
                  <c:v>38.510714550000003</c:v>
                </c:pt>
                <c:pt idx="119">
                  <c:v>38.834333999999998</c:v>
                </c:pt>
                <c:pt idx="120">
                  <c:v>39.157953450000001</c:v>
                </c:pt>
                <c:pt idx="121">
                  <c:v>39.481572900000003</c:v>
                </c:pt>
                <c:pt idx="122">
                  <c:v>39.805192349999999</c:v>
                </c:pt>
                <c:pt idx="123">
                  <c:v>40.128811800000001</c:v>
                </c:pt>
                <c:pt idx="124">
                  <c:v>40.452431249999997</c:v>
                </c:pt>
                <c:pt idx="125">
                  <c:v>40.776050699999999</c:v>
                </c:pt>
                <c:pt idx="126">
                  <c:v>41.099670149999994</c:v>
                </c:pt>
                <c:pt idx="127">
                  <c:v>41.423289600000004</c:v>
                </c:pt>
                <c:pt idx="128">
                  <c:v>41.746909049999999</c:v>
                </c:pt>
                <c:pt idx="129">
                  <c:v>42.070528500000002</c:v>
                </c:pt>
                <c:pt idx="130">
                  <c:v>42.394147950000004</c:v>
                </c:pt>
                <c:pt idx="131">
                  <c:v>42.7177674</c:v>
                </c:pt>
                <c:pt idx="132">
                  <c:v>43.041386849999995</c:v>
                </c:pt>
                <c:pt idx="133">
                  <c:v>43.365006299999997</c:v>
                </c:pt>
                <c:pt idx="134">
                  <c:v>43.68862575</c:v>
                </c:pt>
                <c:pt idx="135">
                  <c:v>44.012245200000002</c:v>
                </c:pt>
                <c:pt idx="136">
                  <c:v>44.335864650000005</c:v>
                </c:pt>
                <c:pt idx="137">
                  <c:v>44.6594841</c:v>
                </c:pt>
                <c:pt idx="138">
                  <c:v>44.983103550000003</c:v>
                </c:pt>
                <c:pt idx="139">
                  <c:v>45.306722999999998</c:v>
                </c:pt>
                <c:pt idx="140">
                  <c:v>45.630342450000001</c:v>
                </c:pt>
                <c:pt idx="141">
                  <c:v>45.953961899999996</c:v>
                </c:pt>
                <c:pt idx="142">
                  <c:v>46.277581349999998</c:v>
                </c:pt>
                <c:pt idx="143">
                  <c:v>46.601200800000001</c:v>
                </c:pt>
                <c:pt idx="144">
                  <c:v>46.924820250000003</c:v>
                </c:pt>
                <c:pt idx="145">
                  <c:v>47.248439700000006</c:v>
                </c:pt>
                <c:pt idx="146">
                  <c:v>47.572059150000001</c:v>
                </c:pt>
                <c:pt idx="147">
                  <c:v>47.895678599999997</c:v>
                </c:pt>
                <c:pt idx="148">
                  <c:v>48.219298049999999</c:v>
                </c:pt>
                <c:pt idx="149">
                  <c:v>48.542917500000001</c:v>
                </c:pt>
                <c:pt idx="150">
                  <c:v>48.866536949999997</c:v>
                </c:pt>
                <c:pt idx="151">
                  <c:v>49.190156399999992</c:v>
                </c:pt>
                <c:pt idx="152">
                  <c:v>49.513775850000002</c:v>
                </c:pt>
                <c:pt idx="153">
                  <c:v>49.837395300000004</c:v>
                </c:pt>
                <c:pt idx="154">
                  <c:v>50.16101475</c:v>
                </c:pt>
                <c:pt idx="155">
                  <c:v>50.484634200000002</c:v>
                </c:pt>
                <c:pt idx="156">
                  <c:v>50.808253649999997</c:v>
                </c:pt>
                <c:pt idx="157">
                  <c:v>51.1318731</c:v>
                </c:pt>
                <c:pt idx="158">
                  <c:v>51.455492549999995</c:v>
                </c:pt>
                <c:pt idx="159">
                  <c:v>51.779111999999998</c:v>
                </c:pt>
                <c:pt idx="160">
                  <c:v>52.102731450000007</c:v>
                </c:pt>
                <c:pt idx="161">
                  <c:v>52.426350900000003</c:v>
                </c:pt>
                <c:pt idx="162">
                  <c:v>52.749970349999998</c:v>
                </c:pt>
                <c:pt idx="163">
                  <c:v>53.073589800000001</c:v>
                </c:pt>
                <c:pt idx="164">
                  <c:v>53.397209250000003</c:v>
                </c:pt>
                <c:pt idx="165">
                  <c:v>53.720828699999998</c:v>
                </c:pt>
                <c:pt idx="166">
                  <c:v>54.044448149999994</c:v>
                </c:pt>
                <c:pt idx="167">
                  <c:v>54.368067599999996</c:v>
                </c:pt>
                <c:pt idx="168">
                  <c:v>54.691687050000006</c:v>
                </c:pt>
                <c:pt idx="169">
                  <c:v>55.015306500000001</c:v>
                </c:pt>
                <c:pt idx="170">
                  <c:v>55.338925950000004</c:v>
                </c:pt>
                <c:pt idx="171">
                  <c:v>55.662545399999999</c:v>
                </c:pt>
                <c:pt idx="172">
                  <c:v>55.986164850000002</c:v>
                </c:pt>
                <c:pt idx="173">
                  <c:v>56.309784299999997</c:v>
                </c:pt>
                <c:pt idx="174">
                  <c:v>56.633403749999999</c:v>
                </c:pt>
                <c:pt idx="175">
                  <c:v>56.957023199999995</c:v>
                </c:pt>
                <c:pt idx="176">
                  <c:v>57.280642650000004</c:v>
                </c:pt>
                <c:pt idx="177">
                  <c:v>57.6042621</c:v>
                </c:pt>
                <c:pt idx="178">
                  <c:v>57.927881550000002</c:v>
                </c:pt>
                <c:pt idx="179">
                  <c:v>58.251501000000005</c:v>
                </c:pt>
                <c:pt idx="180">
                  <c:v>58.57512045</c:v>
                </c:pt>
                <c:pt idx="181">
                  <c:v>58.898739899999995</c:v>
                </c:pt>
                <c:pt idx="182">
                  <c:v>59.222359349999998</c:v>
                </c:pt>
                <c:pt idx="183">
                  <c:v>59.5459788</c:v>
                </c:pt>
                <c:pt idx="184">
                  <c:v>59.869598249999996</c:v>
                </c:pt>
                <c:pt idx="185">
                  <c:v>60.193217700000005</c:v>
                </c:pt>
                <c:pt idx="186">
                  <c:v>60.516837150000001</c:v>
                </c:pt>
                <c:pt idx="187">
                  <c:v>60.840456600000003</c:v>
                </c:pt>
                <c:pt idx="188">
                  <c:v>61.164076049999998</c:v>
                </c:pt>
                <c:pt idx="189">
                  <c:v>61.487695500000001</c:v>
                </c:pt>
                <c:pt idx="190">
                  <c:v>61.811314949999996</c:v>
                </c:pt>
                <c:pt idx="191">
                  <c:v>62.134934399999999</c:v>
                </c:pt>
                <c:pt idx="192">
                  <c:v>62.458553849999994</c:v>
                </c:pt>
                <c:pt idx="193">
                  <c:v>62.782173300000004</c:v>
                </c:pt>
                <c:pt idx="194">
                  <c:v>63.105792750000006</c:v>
                </c:pt>
                <c:pt idx="195">
                  <c:v>63.429412200000002</c:v>
                </c:pt>
                <c:pt idx="196">
                  <c:v>63.753031649999997</c:v>
                </c:pt>
                <c:pt idx="197">
                  <c:v>64.076651099999992</c:v>
                </c:pt>
                <c:pt idx="198">
                  <c:v>64.400270550000002</c:v>
                </c:pt>
                <c:pt idx="199">
                  <c:v>64.723889999999997</c:v>
                </c:pt>
                <c:pt idx="200">
                  <c:v>65.047509449999993</c:v>
                </c:pt>
                <c:pt idx="201">
                  <c:v>65.371128900000002</c:v>
                </c:pt>
                <c:pt idx="202">
                  <c:v>65.694748349999998</c:v>
                </c:pt>
                <c:pt idx="203">
                  <c:v>66.018367800000007</c:v>
                </c:pt>
              </c:numCache>
            </c:numRef>
          </c:xVal>
          <c:yVal>
            <c:numRef>
              <c:f>[1]Geotherm!$A$2:$A$205</c:f>
              <c:numCache>
                <c:formatCode>General</c:formatCode>
                <c:ptCount val="2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AD-438E-B547-FAF29D9A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556832"/>
        <c:axId val="91557248"/>
      </c:scatterChart>
      <c:valAx>
        <c:axId val="9155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7248"/>
        <c:crosses val="autoZero"/>
        <c:crossBetween val="midCat"/>
      </c:valAx>
      <c:valAx>
        <c:axId val="91557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5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1968678915135608"/>
                  <c:y val="1.388888888888888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[1]Geotherm!$N$65:$N$207</c:f>
              <c:numCache>
                <c:formatCode>0</c:formatCode>
                <c:ptCount val="143"/>
                <c:pt idx="0">
                  <c:v>618.37415119451612</c:v>
                </c:pt>
                <c:pt idx="1">
                  <c:v>623.95616151450145</c:v>
                </c:pt>
                <c:pt idx="2">
                  <c:v>629.5073863386757</c:v>
                </c:pt>
                <c:pt idx="3">
                  <c:v>635.02925728634079</c:v>
                </c:pt>
                <c:pt idx="4">
                  <c:v>640.52313940214265</c:v>
                </c:pt>
                <c:pt idx="5">
                  <c:v>645.99033425199309</c:v>
                </c:pt>
                <c:pt idx="6">
                  <c:v>651.43208287502591</c:v>
                </c:pt>
                <c:pt idx="7">
                  <c:v>656.84956859827639</c:v>
                </c:pt>
                <c:pt idx="8">
                  <c:v>662.24391972046874</c:v>
                </c:pt>
                <c:pt idx="9">
                  <c:v>667.61621207100086</c:v>
                </c:pt>
                <c:pt idx="10">
                  <c:v>672.96747144992798</c:v>
                </c:pt>
                <c:pt idx="11">
                  <c:v>678.2986759544782</c:v>
                </c:pt>
                <c:pt idx="12">
                  <c:v>683.61075819738085</c:v>
                </c:pt>
                <c:pt idx="13">
                  <c:v>688.90460742203243</c:v>
                </c:pt>
                <c:pt idx="14">
                  <c:v>694.18107151930474</c:v>
                </c:pt>
                <c:pt idx="15">
                  <c:v>699.44095895056159</c:v>
                </c:pt>
                <c:pt idx="16">
                  <c:v>704.68504058125109</c:v>
                </c:pt>
                <c:pt idx="17">
                  <c:v>709.91405142923088</c:v>
                </c:pt>
                <c:pt idx="18">
                  <c:v>715.12869233178992</c:v>
                </c:pt>
                <c:pt idx="19">
                  <c:v>720.32963153514959</c:v>
                </c:pt>
                <c:pt idx="20">
                  <c:v>725.51750621004635</c:v>
                </c:pt>
                <c:pt idx="21">
                  <c:v>730.69292389683744</c:v>
                </c:pt>
                <c:pt idx="22">
                  <c:v>735.85646388340353</c:v>
                </c:pt>
                <c:pt idx="23">
                  <c:v>741.00867851897385</c:v>
                </c:pt>
                <c:pt idx="24">
                  <c:v>746.15009446685849</c:v>
                </c:pt>
                <c:pt idx="25">
                  <c:v>751.28121389891794</c:v>
                </c:pt>
                <c:pt idx="26">
                  <c:v>756.40251563449294</c:v>
                </c:pt>
                <c:pt idx="27">
                  <c:v>761.51445622636641</c:v>
                </c:pt>
                <c:pt idx="28">
                  <c:v>766.61747099622573</c:v>
                </c:pt>
                <c:pt idx="29">
                  <c:v>771.71197502197731</c:v>
                </c:pt>
                <c:pt idx="30">
                  <c:v>776.79836407913751</c:v>
                </c:pt>
                <c:pt idx="31">
                  <c:v>781.87701553845716</c:v>
                </c:pt>
                <c:pt idx="32">
                  <c:v>786.94828922179806</c:v>
                </c:pt>
                <c:pt idx="33">
                  <c:v>792.01252821821015</c:v>
                </c:pt>
                <c:pt idx="34">
                  <c:v>797.07005966205759</c:v>
                </c:pt>
                <c:pt idx="35">
                  <c:v>802.12119547496002</c:v>
                </c:pt>
                <c:pt idx="36">
                  <c:v>807.16623307323164</c:v>
                </c:pt>
                <c:pt idx="37">
                  <c:v>812.20545604242363</c:v>
                </c:pt>
                <c:pt idx="38">
                  <c:v>817.23913478049428</c:v>
                </c:pt>
                <c:pt idx="39">
                  <c:v>822.26752711107395</c:v>
                </c:pt>
                <c:pt idx="40">
                  <c:v>827.29087886820946</c:v>
                </c:pt>
                <c:pt idx="41">
                  <c:v>832.30942445391418</c:v>
                </c:pt>
                <c:pt idx="42">
                  <c:v>837.32338736979625</c:v>
                </c:pt>
                <c:pt idx="43">
                  <c:v>842.33298072395735</c:v>
                </c:pt>
                <c:pt idx="44">
                  <c:v>847.33840771432244</c:v>
                </c:pt>
                <c:pt idx="45">
                  <c:v>852.33986208949648</c:v>
                </c:pt>
                <c:pt idx="46">
                  <c:v>857.33752858818332</c:v>
                </c:pt>
                <c:pt idx="47">
                  <c:v>862.33158335817336</c:v>
                </c:pt>
                <c:pt idx="48">
                  <c:v>867.32219435585</c:v>
                </c:pt>
                <c:pt idx="49">
                  <c:v>872.30952172711193</c:v>
                </c:pt>
                <c:pt idx="50">
                  <c:v>877.29371817058734</c:v>
                </c:pt>
                <c:pt idx="51">
                  <c:v>882.2749292839527</c:v>
                </c:pt>
                <c:pt idx="52">
                  <c:v>887.25329389414821</c:v>
                </c:pt>
                <c:pt idx="53">
                  <c:v>892.22894437223965</c:v>
                </c:pt>
                <c:pt idx="54">
                  <c:v>897.20200693363506</c:v>
                </c:pt>
                <c:pt idx="55">
                  <c:v>902.17260192434071</c:v>
                </c:pt>
                <c:pt idx="56">
                  <c:v>907.14084409390887</c:v>
                </c:pt>
                <c:pt idx="57">
                  <c:v>912.10684285568652</c:v>
                </c:pt>
                <c:pt idx="58">
                  <c:v>917.07070253496806</c:v>
                </c:pt>
                <c:pt idx="59">
                  <c:v>922.03252260560237</c:v>
                </c:pt>
                <c:pt idx="60">
                  <c:v>926.99239791560296</c:v>
                </c:pt>
                <c:pt idx="61">
                  <c:v>931.95041890226219</c:v>
                </c:pt>
                <c:pt idx="62">
                  <c:v>936.90667179726108</c:v>
                </c:pt>
                <c:pt idx="63">
                  <c:v>941.86123882224695</c:v>
                </c:pt>
                <c:pt idx="64">
                  <c:v>946.81419837530837</c:v>
                </c:pt>
                <c:pt idx="65">
                  <c:v>951.7656252087844</c:v>
                </c:pt>
                <c:pt idx="66">
                  <c:v>956.71559059880485</c:v>
                </c:pt>
                <c:pt idx="67">
                  <c:v>961.66416250693908</c:v>
                </c:pt>
                <c:pt idx="68">
                  <c:v>966.61140573433966</c:v>
                </c:pt>
                <c:pt idx="69">
                  <c:v>971.55738206870535</c:v>
                </c:pt>
                <c:pt idx="70">
                  <c:v>976.50215042442017</c:v>
                </c:pt>
                <c:pt idx="71">
                  <c:v>981.44576697617174</c:v>
                </c:pt>
                <c:pt idx="72">
                  <c:v>986.38828528634974</c:v>
                </c:pt>
                <c:pt idx="73">
                  <c:v>991.32975642653298</c:v>
                </c:pt>
                <c:pt idx="74">
                  <c:v>996.27022909331401</c:v>
                </c:pt>
                <c:pt idx="75">
                  <c:v>1001.209749718747</c:v>
                </c:pt>
                <c:pt idx="76">
                  <c:v>1006.1483625756542</c:v>
                </c:pt>
                <c:pt idx="77">
                  <c:v>1011.0861098780357</c:v>
                </c:pt>
                <c:pt idx="78">
                  <c:v>1016.0230318768134</c:v>
                </c:pt>
                <c:pt idx="79">
                  <c:v>1020.959166951117</c:v>
                </c:pt>
                <c:pt idx="80">
                  <c:v>1025.8945516953318</c:v>
                </c:pt>
                <c:pt idx="81">
                  <c:v>1030.8292210020913</c:v>
                </c:pt>
                <c:pt idx="82">
                  <c:v>1035.7632081414163</c:v>
                </c:pt>
                <c:pt idx="83">
                  <c:v>1040.6965448361698</c:v>
                </c:pt>
                <c:pt idx="84">
                  <c:v>1045.6292613340042</c:v>
                </c:pt>
                <c:pt idx="85">
                  <c:v>1050.5613864759657</c:v>
                </c:pt>
                <c:pt idx="86">
                  <c:v>1055.4929477619025</c:v>
                </c:pt>
                <c:pt idx="87">
                  <c:v>1060.4239714128375</c:v>
                </c:pt>
                <c:pt idx="88">
                  <c:v>1065.3544824304358</c:v>
                </c:pt>
                <c:pt idx="89">
                  <c:v>1070.2845046537072</c:v>
                </c:pt>
                <c:pt idx="90">
                  <c:v>1075.2140608130771</c:v>
                </c:pt>
                <c:pt idx="91">
                  <c:v>1080.1431725819366</c:v>
                </c:pt>
                <c:pt idx="92">
                  <c:v>1085.0718606257969</c:v>
                </c:pt>
                <c:pt idx="93">
                  <c:v>1090.0001446491619</c:v>
                </c:pt>
                <c:pt idx="94">
                  <c:v>1094.9280434402135</c:v>
                </c:pt>
                <c:pt idx="95">
                  <c:v>1099.855574913428</c:v>
                </c:pt>
                <c:pt idx="96">
                  <c:v>1104.782756150204</c:v>
                </c:pt>
                <c:pt idx="97">
                  <c:v>1109.7096034376013</c:v>
                </c:pt>
                <c:pt idx="98">
                  <c:v>1114.6361323052838</c:v>
                </c:pt>
                <c:pt idx="99">
                  <c:v>1119.5623575607374</c:v>
                </c:pt>
                <c:pt idx="100">
                  <c:v>1124.488293322856</c:v>
                </c:pt>
                <c:pt idx="101">
                  <c:v>1129.4139530539601</c:v>
                </c:pt>
                <c:pt idx="102">
                  <c:v>1134.3393495903329</c:v>
                </c:pt>
                <c:pt idx="103">
                  <c:v>1139.2644951713314</c:v>
                </c:pt>
                <c:pt idx="104">
                  <c:v>1144.1894014671443</c:v>
                </c:pt>
                <c:pt idx="105">
                  <c:v>1149.1140796052614</c:v>
                </c:pt>
                <c:pt idx="106">
                  <c:v>1154.0385401957105</c:v>
                </c:pt>
                <c:pt idx="107">
                  <c:v>1158.9627933551201</c:v>
                </c:pt>
                <c:pt idx="108">
                  <c:v>1163.8868487296663</c:v>
                </c:pt>
                <c:pt idx="109">
                  <c:v>1168.8107155169459</c:v>
                </c:pt>
                <c:pt idx="110">
                  <c:v>1173.7344024868416</c:v>
                </c:pt>
                <c:pt idx="111">
                  <c:v>1178.657918001411</c:v>
                </c:pt>
                <c:pt idx="112">
                  <c:v>1183.581270033847</c:v>
                </c:pt>
                <c:pt idx="113">
                  <c:v>1188.5044661865677</c:v>
                </c:pt>
                <c:pt idx="114">
                  <c:v>1193.4275137084533</c:v>
                </c:pt>
                <c:pt idx="115">
                  <c:v>1198.3504195112914</c:v>
                </c:pt>
                <c:pt idx="116">
                  <c:v>1203.273190185449</c:v>
                </c:pt>
                <c:pt idx="117">
                  <c:v>1208.195832014821</c:v>
                </c:pt>
                <c:pt idx="118">
                  <c:v>1213.1183509910825</c:v>
                </c:pt>
                <c:pt idx="119">
                  <c:v>1218.0407528272772</c:v>
                </c:pt>
                <c:pt idx="120">
                  <c:v>1222.9630429707736</c:v>
                </c:pt>
                <c:pt idx="121">
                  <c:v>1227.885226615625</c:v>
                </c:pt>
                <c:pt idx="122">
                  <c:v>1232.8073087143407</c:v>
                </c:pt>
                <c:pt idx="123">
                  <c:v>1237.7292939891263</c:v>
                </c:pt>
                <c:pt idx="124">
                  <c:v>1242.6511869425885</c:v>
                </c:pt>
                <c:pt idx="125">
                  <c:v>1247.5729918679503</c:v>
                </c:pt>
                <c:pt idx="126">
                  <c:v>1252.4947128587864</c:v>
                </c:pt>
                <c:pt idx="127">
                  <c:v>1257.4163538183084</c:v>
                </c:pt>
                <c:pt idx="128">
                  <c:v>1262.3379184682149</c:v>
                </c:pt>
                <c:pt idx="129">
                  <c:v>1267.2594103571369</c:v>
                </c:pt>
                <c:pt idx="130">
                  <c:v>1272.1808328686807</c:v>
                </c:pt>
                <c:pt idx="131">
                  <c:v>1277.1021892291055</c:v>
                </c:pt>
                <c:pt idx="132">
                  <c:v>1282.0234825146404</c:v>
                </c:pt>
                <c:pt idx="133">
                  <c:v>1286.9447156584592</c:v>
                </c:pt>
                <c:pt idx="134">
                  <c:v>1291.8658914573366</c:v>
                </c:pt>
                <c:pt idx="135">
                  <c:v>1296.7870125779841</c:v>
                </c:pt>
                <c:pt idx="136">
                  <c:v>1301.7080815631093</c:v>
                </c:pt>
                <c:pt idx="137">
                  <c:v>1306.62910083717</c:v>
                </c:pt>
                <c:pt idx="138">
                  <c:v>1311.5500727118829</c:v>
                </c:pt>
                <c:pt idx="139">
                  <c:v>1316.470999391463</c:v>
                </c:pt>
                <c:pt idx="140">
                  <c:v>1321.3918829776189</c:v>
                </c:pt>
              </c:numCache>
            </c:numRef>
          </c:xVal>
          <c:yVal>
            <c:numRef>
              <c:f>[1]Geotherm!$M$65:$M$207</c:f>
              <c:numCache>
                <c:formatCode>0.00</c:formatCode>
                <c:ptCount val="143"/>
                <c:pt idx="0">
                  <c:v>20.711644800000002</c:v>
                </c:pt>
                <c:pt idx="1">
                  <c:v>21.035264250000001</c:v>
                </c:pt>
                <c:pt idx="2">
                  <c:v>21.3588837</c:v>
                </c:pt>
                <c:pt idx="3">
                  <c:v>21.682503149999999</c:v>
                </c:pt>
                <c:pt idx="4">
                  <c:v>22.006122600000001</c:v>
                </c:pt>
                <c:pt idx="5">
                  <c:v>22.32974205</c:v>
                </c:pt>
                <c:pt idx="6">
                  <c:v>22.653361499999999</c:v>
                </c:pt>
                <c:pt idx="7">
                  <c:v>22.976980949999998</c:v>
                </c:pt>
                <c:pt idx="8">
                  <c:v>23.3006004</c:v>
                </c:pt>
                <c:pt idx="9">
                  <c:v>23.624219850000003</c:v>
                </c:pt>
                <c:pt idx="10">
                  <c:v>23.947839299999998</c:v>
                </c:pt>
                <c:pt idx="11">
                  <c:v>24.271458750000001</c:v>
                </c:pt>
                <c:pt idx="12">
                  <c:v>24.595078199999996</c:v>
                </c:pt>
                <c:pt idx="13">
                  <c:v>24.918697650000002</c:v>
                </c:pt>
                <c:pt idx="14">
                  <c:v>25.242317100000001</c:v>
                </c:pt>
                <c:pt idx="15">
                  <c:v>25.56593655</c:v>
                </c:pt>
                <c:pt idx="16">
                  <c:v>25.889555999999999</c:v>
                </c:pt>
                <c:pt idx="17">
                  <c:v>26.213175450000001</c:v>
                </c:pt>
                <c:pt idx="18">
                  <c:v>26.5367949</c:v>
                </c:pt>
                <c:pt idx="19">
                  <c:v>26.860414349999999</c:v>
                </c:pt>
                <c:pt idx="20">
                  <c:v>27.184033799999998</c:v>
                </c:pt>
                <c:pt idx="21">
                  <c:v>27.507653250000001</c:v>
                </c:pt>
                <c:pt idx="22">
                  <c:v>27.8312727</c:v>
                </c:pt>
                <c:pt idx="23">
                  <c:v>28.154892149999998</c:v>
                </c:pt>
                <c:pt idx="24">
                  <c:v>28.478511599999997</c:v>
                </c:pt>
                <c:pt idx="25">
                  <c:v>28.80213105</c:v>
                </c:pt>
                <c:pt idx="26">
                  <c:v>29.125750500000002</c:v>
                </c:pt>
                <c:pt idx="27">
                  <c:v>29.449369949999998</c:v>
                </c:pt>
                <c:pt idx="28">
                  <c:v>29.7729894</c:v>
                </c:pt>
                <c:pt idx="29">
                  <c:v>30.096608850000003</c:v>
                </c:pt>
                <c:pt idx="30">
                  <c:v>30.420228300000002</c:v>
                </c:pt>
                <c:pt idx="31">
                  <c:v>30.74384775</c:v>
                </c:pt>
                <c:pt idx="32">
                  <c:v>31.067467199999999</c:v>
                </c:pt>
                <c:pt idx="33">
                  <c:v>31.391086650000002</c:v>
                </c:pt>
                <c:pt idx="34">
                  <c:v>31.714706100000001</c:v>
                </c:pt>
                <c:pt idx="35">
                  <c:v>32.038325549999996</c:v>
                </c:pt>
                <c:pt idx="36">
                  <c:v>32.361944999999999</c:v>
                </c:pt>
                <c:pt idx="37">
                  <c:v>32.685564450000001</c:v>
                </c:pt>
                <c:pt idx="38">
                  <c:v>33.009183900000004</c:v>
                </c:pt>
                <c:pt idx="39">
                  <c:v>33.332803349999999</c:v>
                </c:pt>
                <c:pt idx="40">
                  <c:v>33.656422800000001</c:v>
                </c:pt>
                <c:pt idx="41">
                  <c:v>33.980042250000004</c:v>
                </c:pt>
                <c:pt idx="42">
                  <c:v>34.303661699999999</c:v>
                </c:pt>
                <c:pt idx="43">
                  <c:v>34.627281150000002</c:v>
                </c:pt>
                <c:pt idx="44">
                  <c:v>34.950900599999997</c:v>
                </c:pt>
                <c:pt idx="45">
                  <c:v>35.27452005</c:v>
                </c:pt>
                <c:pt idx="46">
                  <c:v>35.598139500000002</c:v>
                </c:pt>
                <c:pt idx="47">
                  <c:v>35.921758949999997</c:v>
                </c:pt>
                <c:pt idx="48">
                  <c:v>36.2453784</c:v>
                </c:pt>
                <c:pt idx="49">
                  <c:v>36.568997849999995</c:v>
                </c:pt>
                <c:pt idx="50">
                  <c:v>36.892617299999998</c:v>
                </c:pt>
                <c:pt idx="51">
                  <c:v>37.21623675</c:v>
                </c:pt>
                <c:pt idx="52">
                  <c:v>37.539856200000003</c:v>
                </c:pt>
                <c:pt idx="53">
                  <c:v>37.863475649999998</c:v>
                </c:pt>
                <c:pt idx="54">
                  <c:v>38.187095100000001</c:v>
                </c:pt>
                <c:pt idx="55">
                  <c:v>38.510714550000003</c:v>
                </c:pt>
                <c:pt idx="56">
                  <c:v>38.834333999999998</c:v>
                </c:pt>
                <c:pt idx="57">
                  <c:v>39.157953450000001</c:v>
                </c:pt>
                <c:pt idx="58">
                  <c:v>39.481572900000003</c:v>
                </c:pt>
                <c:pt idx="59">
                  <c:v>39.805192349999999</c:v>
                </c:pt>
                <c:pt idx="60">
                  <c:v>40.128811800000001</c:v>
                </c:pt>
                <c:pt idx="61">
                  <c:v>40.452431249999997</c:v>
                </c:pt>
                <c:pt idx="62">
                  <c:v>40.776050699999999</c:v>
                </c:pt>
                <c:pt idx="63">
                  <c:v>41.099670149999994</c:v>
                </c:pt>
                <c:pt idx="64">
                  <c:v>41.423289600000004</c:v>
                </c:pt>
                <c:pt idx="65">
                  <c:v>41.746909049999999</c:v>
                </c:pt>
                <c:pt idx="66">
                  <c:v>42.070528500000002</c:v>
                </c:pt>
                <c:pt idx="67">
                  <c:v>42.394147950000004</c:v>
                </c:pt>
                <c:pt idx="68">
                  <c:v>42.7177674</c:v>
                </c:pt>
                <c:pt idx="69">
                  <c:v>43.041386849999995</c:v>
                </c:pt>
                <c:pt idx="70">
                  <c:v>43.365006299999997</c:v>
                </c:pt>
                <c:pt idx="71">
                  <c:v>43.68862575</c:v>
                </c:pt>
                <c:pt idx="72">
                  <c:v>44.012245200000002</c:v>
                </c:pt>
                <c:pt idx="73">
                  <c:v>44.335864650000005</c:v>
                </c:pt>
                <c:pt idx="74">
                  <c:v>44.6594841</c:v>
                </c:pt>
                <c:pt idx="75">
                  <c:v>44.983103550000003</c:v>
                </c:pt>
                <c:pt idx="76">
                  <c:v>45.306722999999998</c:v>
                </c:pt>
                <c:pt idx="77">
                  <c:v>45.630342450000001</c:v>
                </c:pt>
                <c:pt idx="78">
                  <c:v>45.953961899999996</c:v>
                </c:pt>
                <c:pt idx="79">
                  <c:v>46.277581349999998</c:v>
                </c:pt>
                <c:pt idx="80">
                  <c:v>46.601200800000001</c:v>
                </c:pt>
                <c:pt idx="81">
                  <c:v>46.924820250000003</c:v>
                </c:pt>
                <c:pt idx="82">
                  <c:v>47.248439700000006</c:v>
                </c:pt>
                <c:pt idx="83">
                  <c:v>47.572059150000001</c:v>
                </c:pt>
                <c:pt idx="84">
                  <c:v>47.895678599999997</c:v>
                </c:pt>
                <c:pt idx="85">
                  <c:v>48.219298049999999</c:v>
                </c:pt>
                <c:pt idx="86">
                  <c:v>48.542917500000001</c:v>
                </c:pt>
                <c:pt idx="87">
                  <c:v>48.866536949999997</c:v>
                </c:pt>
                <c:pt idx="88">
                  <c:v>49.190156399999992</c:v>
                </c:pt>
                <c:pt idx="89">
                  <c:v>49.513775850000002</c:v>
                </c:pt>
                <c:pt idx="90">
                  <c:v>49.837395300000004</c:v>
                </c:pt>
                <c:pt idx="91">
                  <c:v>50.16101475</c:v>
                </c:pt>
                <c:pt idx="92">
                  <c:v>50.484634200000002</c:v>
                </c:pt>
                <c:pt idx="93">
                  <c:v>50.808253649999997</c:v>
                </c:pt>
                <c:pt idx="94">
                  <c:v>51.1318731</c:v>
                </c:pt>
                <c:pt idx="95">
                  <c:v>51.455492549999995</c:v>
                </c:pt>
                <c:pt idx="96">
                  <c:v>51.779111999999998</c:v>
                </c:pt>
                <c:pt idx="97">
                  <c:v>52.102731450000007</c:v>
                </c:pt>
                <c:pt idx="98">
                  <c:v>52.426350900000003</c:v>
                </c:pt>
                <c:pt idx="99">
                  <c:v>52.749970349999998</c:v>
                </c:pt>
                <c:pt idx="100">
                  <c:v>53.073589800000001</c:v>
                </c:pt>
                <c:pt idx="101">
                  <c:v>53.397209250000003</c:v>
                </c:pt>
                <c:pt idx="102">
                  <c:v>53.720828699999998</c:v>
                </c:pt>
                <c:pt idx="103">
                  <c:v>54.044448149999994</c:v>
                </c:pt>
                <c:pt idx="104">
                  <c:v>54.368067599999996</c:v>
                </c:pt>
                <c:pt idx="105">
                  <c:v>54.691687050000006</c:v>
                </c:pt>
                <c:pt idx="106">
                  <c:v>55.015306500000001</c:v>
                </c:pt>
                <c:pt idx="107">
                  <c:v>55.338925950000004</c:v>
                </c:pt>
                <c:pt idx="108">
                  <c:v>55.662545399999999</c:v>
                </c:pt>
                <c:pt idx="109">
                  <c:v>55.986164850000002</c:v>
                </c:pt>
                <c:pt idx="110">
                  <c:v>56.309784299999997</c:v>
                </c:pt>
                <c:pt idx="111">
                  <c:v>56.633403749999999</c:v>
                </c:pt>
                <c:pt idx="112">
                  <c:v>56.957023199999995</c:v>
                </c:pt>
                <c:pt idx="113">
                  <c:v>57.280642650000004</c:v>
                </c:pt>
                <c:pt idx="114">
                  <c:v>57.6042621</c:v>
                </c:pt>
                <c:pt idx="115">
                  <c:v>57.927881550000002</c:v>
                </c:pt>
                <c:pt idx="116">
                  <c:v>58.251501000000005</c:v>
                </c:pt>
                <c:pt idx="117">
                  <c:v>58.57512045</c:v>
                </c:pt>
                <c:pt idx="118">
                  <c:v>58.898739899999995</c:v>
                </c:pt>
                <c:pt idx="119">
                  <c:v>59.222359349999998</c:v>
                </c:pt>
                <c:pt idx="120">
                  <c:v>59.5459788</c:v>
                </c:pt>
                <c:pt idx="121">
                  <c:v>59.869598249999996</c:v>
                </c:pt>
                <c:pt idx="122">
                  <c:v>60.193217700000005</c:v>
                </c:pt>
                <c:pt idx="123">
                  <c:v>60.516837150000001</c:v>
                </c:pt>
                <c:pt idx="124">
                  <c:v>60.840456600000003</c:v>
                </c:pt>
                <c:pt idx="125">
                  <c:v>61.164076049999998</c:v>
                </c:pt>
                <c:pt idx="126">
                  <c:v>61.487695500000001</c:v>
                </c:pt>
                <c:pt idx="127">
                  <c:v>61.811314949999996</c:v>
                </c:pt>
                <c:pt idx="128">
                  <c:v>62.134934399999999</c:v>
                </c:pt>
                <c:pt idx="129">
                  <c:v>62.458553849999994</c:v>
                </c:pt>
                <c:pt idx="130">
                  <c:v>62.782173300000004</c:v>
                </c:pt>
                <c:pt idx="131">
                  <c:v>63.105792750000006</c:v>
                </c:pt>
                <c:pt idx="132">
                  <c:v>63.429412200000002</c:v>
                </c:pt>
                <c:pt idx="133">
                  <c:v>63.753031649999997</c:v>
                </c:pt>
                <c:pt idx="134">
                  <c:v>64.076651099999992</c:v>
                </c:pt>
                <c:pt idx="135">
                  <c:v>64.400270550000002</c:v>
                </c:pt>
                <c:pt idx="136">
                  <c:v>64.723889999999997</c:v>
                </c:pt>
                <c:pt idx="137">
                  <c:v>65.047509449999993</c:v>
                </c:pt>
                <c:pt idx="138">
                  <c:v>65.371128900000002</c:v>
                </c:pt>
                <c:pt idx="139">
                  <c:v>65.694748349999998</c:v>
                </c:pt>
                <c:pt idx="140">
                  <c:v>66.018367800000007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8D-4219-9C02-10B42B13F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5857695"/>
        <c:axId val="1925860607"/>
      </c:scatterChart>
      <c:valAx>
        <c:axId val="1925857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60607"/>
        <c:crosses val="autoZero"/>
        <c:crossBetween val="midCat"/>
      </c:valAx>
      <c:valAx>
        <c:axId val="192586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5857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[1]Geotherm!$AD$2:$AD$205</c:f>
              <c:numCache>
                <c:formatCode>0</c:formatCode>
                <c:ptCount val="204"/>
                <c:pt idx="0">
                  <c:v>36.315093503382343</c:v>
                </c:pt>
                <c:pt idx="1">
                  <c:v>54.13029225718185</c:v>
                </c:pt>
                <c:pt idx="2">
                  <c:v>71.324475610815227</c:v>
                </c:pt>
                <c:pt idx="3">
                  <c:v>87.925239603096543</c:v>
                </c:pt>
                <c:pt idx="4">
                  <c:v>103.95895398866395</c:v>
                </c:pt>
                <c:pt idx="5">
                  <c:v>119.45081673032496</c:v>
                </c:pt>
                <c:pt idx="6">
                  <c:v>134.42490606992789</c:v>
                </c:pt>
                <c:pt idx="7">
                  <c:v>148.90423028536105</c:v>
                </c:pt>
                <c:pt idx="8">
                  <c:v>162.91077523650318</c:v>
                </c:pt>
                <c:pt idx="9">
                  <c:v>176.46554979837441</c:v>
                </c:pt>
                <c:pt idx="10">
                  <c:v>189.58862927537814</c:v>
                </c:pt>
                <c:pt idx="11">
                  <c:v>202.29919688634357</c:v>
                </c:pt>
                <c:pt idx="12">
                  <c:v>214.61558340610071</c:v>
                </c:pt>
                <c:pt idx="13">
                  <c:v>226.55530504550353</c:v>
                </c:pt>
                <c:pt idx="14">
                  <c:v>238.13509964817911</c:v>
                </c:pt>
                <c:pt idx="15">
                  <c:v>249.37096127880466</c:v>
                </c:pt>
                <c:pt idx="16">
                  <c:v>260.27817327438538</c:v>
                </c:pt>
                <c:pt idx="17">
                  <c:v>270.87133982683417</c:v>
                </c:pt>
                <c:pt idx="18">
                  <c:v>281.1644161621175</c:v>
                </c:pt>
                <c:pt idx="19">
                  <c:v>291.17073737833175</c:v>
                </c:pt>
                <c:pt idx="20">
                  <c:v>300.90304600230309</c:v>
                </c:pt>
                <c:pt idx="21">
                  <c:v>310.37351832165496</c:v>
                </c:pt>
                <c:pt idx="22">
                  <c:v>319.59378954675935</c:v>
                </c:pt>
                <c:pt idx="23">
                  <c:v>328.57497785456701</c:v>
                </c:pt>
                <c:pt idx="24">
                  <c:v>337.32770736400255</c:v>
                </c:pt>
                <c:pt idx="25">
                  <c:v>345.86213009040364</c:v>
                </c:pt>
                <c:pt idx="26">
                  <c:v>354.18794692437041</c:v>
                </c:pt>
                <c:pt idx="27">
                  <c:v>362.31442767837893</c:v>
                </c:pt>
                <c:pt idx="28">
                  <c:v>370.25043024258503</c:v>
                </c:pt>
                <c:pt idx="29">
                  <c:v>378.00441888940043</c:v>
                </c:pt>
                <c:pt idx="30">
                  <c:v>385.58448176467084</c:v>
                </c:pt>
                <c:pt idx="31">
                  <c:v>392.99834760159865</c:v>
                </c:pt>
                <c:pt idx="32">
                  <c:v>400.25340169194885</c:v>
                </c:pt>
                <c:pt idx="33">
                  <c:v>407.3567011475443</c:v>
                </c:pt>
                <c:pt idx="34">
                  <c:v>414.31498948358569</c:v>
                </c:pt>
                <c:pt idx="35">
                  <c:v>421.13471055393336</c:v>
                </c:pt>
                <c:pt idx="36">
                  <c:v>427.82202186714744</c:v>
                </c:pt>
                <c:pt idx="37">
                  <c:v>434.38280731080329</c:v>
                </c:pt>
                <c:pt idx="38">
                  <c:v>440.82268931037777</c:v>
                </c:pt>
                <c:pt idx="39">
                  <c:v>447.14704044783014</c:v>
                </c:pt>
                <c:pt idx="40">
                  <c:v>453.36099456389104</c:v>
                </c:pt>
                <c:pt idx="41">
                  <c:v>459.46945736699524</c:v>
                </c:pt>
                <c:pt idx="42">
                  <c:v>465.47711657079174</c:v>
                </c:pt>
                <c:pt idx="43">
                  <c:v>471.38845158116612</c:v>
                </c:pt>
                <c:pt idx="44">
                  <c:v>477.20774275280826</c:v>
                </c:pt>
                <c:pt idx="45">
                  <c:v>482.9390802344418</c:v>
                </c:pt>
                <c:pt idx="46">
                  <c:v>488.58637242099928</c:v>
                </c:pt>
                <c:pt idx="47">
                  <c:v>494.15335403021038</c:v>
                </c:pt>
                <c:pt idx="48">
                  <c:v>499.64359382028749</c:v>
                </c:pt>
                <c:pt idx="49">
                  <c:v>505.06050196466413</c:v>
                </c:pt>
                <c:pt idx="50">
                  <c:v>510.40733709902122</c:v>
                </c:pt>
                <c:pt idx="51">
                  <c:v>515.68721305516272</c:v>
                </c:pt>
                <c:pt idx="52">
                  <c:v>520.90310529566352</c:v>
                </c:pt>
                <c:pt idx="53">
                  <c:v>526.05785706257427</c:v>
                </c:pt>
                <c:pt idx="54">
                  <c:v>531.15418525290249</c:v>
                </c:pt>
                <c:pt idx="55">
                  <c:v>536.19468603300197</c:v>
                </c:pt>
                <c:pt idx="56">
                  <c:v>541.18184020347644</c:v>
                </c:pt>
                <c:pt idx="57">
                  <c:v>546.11801832568278</c:v>
                </c:pt>
                <c:pt idx="58">
                  <c:v>551.005485620429</c:v>
                </c:pt>
                <c:pt idx="59">
                  <c:v>555.84640664898848</c:v>
                </c:pt>
                <c:pt idx="60">
                  <c:v>560.6428497861034</c:v>
                </c:pt>
                <c:pt idx="61">
                  <c:v>565.39679149422329</c:v>
                </c:pt>
                <c:pt idx="62">
                  <c:v>570.11012040780633</c:v>
                </c:pt>
                <c:pt idx="63">
                  <c:v>574.78464123613048</c:v>
                </c:pt>
                <c:pt idx="64">
                  <c:v>579.42207849267322</c:v>
                </c:pt>
                <c:pt idx="65">
                  <c:v>584.0240800587685</c:v>
                </c:pt>
                <c:pt idx="66">
                  <c:v>588.59222058890816</c:v>
                </c:pt>
                <c:pt idx="67">
                  <c:v>593.12800476471796</c:v>
                </c:pt>
                <c:pt idx="68">
                  <c:v>597.63287040434227</c:v>
                </c:pt>
                <c:pt idx="69">
                  <c:v>602.10819143365211</c:v>
                </c:pt>
                <c:pt idx="70">
                  <c:v>606.5552807254245</c:v>
                </c:pt>
                <c:pt idx="71">
                  <c:v>610.97539281235663</c:v>
                </c:pt>
                <c:pt idx="72">
                  <c:v>615.36972647952132</c:v>
                </c:pt>
                <c:pt idx="73">
                  <c:v>619.73942724162293</c:v>
                </c:pt>
                <c:pt idx="74">
                  <c:v>624.08558971017044</c:v>
                </c:pt>
                <c:pt idx="75">
                  <c:v>628.40925985546062</c:v>
                </c:pt>
                <c:pt idx="76">
                  <c:v>632.7114371680467</c:v>
                </c:pt>
                <c:pt idx="77">
                  <c:v>636.99307672415557</c:v>
                </c:pt>
                <c:pt idx="78">
                  <c:v>641.25509115932709</c:v>
                </c:pt>
                <c:pt idx="79">
                  <c:v>645.49835255434868</c:v>
                </c:pt>
                <c:pt idx="80">
                  <c:v>649.7236942373853</c:v>
                </c:pt>
                <c:pt idx="81">
                  <c:v>653.93191250602877</c:v>
                </c:pt>
                <c:pt idx="82">
                  <c:v>658.12376827282264</c:v>
                </c:pt>
                <c:pt idx="83">
                  <c:v>662.299988637669</c:v>
                </c:pt>
                <c:pt idx="84">
                  <c:v>666.46126839035674</c:v>
                </c:pt>
                <c:pt idx="85">
                  <c:v>670.60827144632651</c:v>
                </c:pt>
                <c:pt idx="86">
                  <c:v>674.74163221863296</c:v>
                </c:pt>
                <c:pt idx="87">
                  <c:v>678.86195692893989</c:v>
                </c:pt>
                <c:pt idx="88">
                  <c:v>682.96982486026161</c:v>
                </c:pt>
                <c:pt idx="89">
                  <c:v>687.06578955403461</c:v>
                </c:pt>
                <c:pt idx="90">
                  <c:v>691.15037995399359</c:v>
                </c:pt>
                <c:pt idx="91">
                  <c:v>695.22410149922086</c:v>
                </c:pt>
                <c:pt idx="92">
                  <c:v>699.28743716861902</c:v>
                </c:pt>
                <c:pt idx="93">
                  <c:v>703.34084847897623</c:v>
                </c:pt>
                <c:pt idx="94">
                  <c:v>707.38477643867543</c:v>
                </c:pt>
                <c:pt idx="95">
                  <c:v>711.41964245902579</c:v>
                </c:pt>
                <c:pt idx="96">
                  <c:v>715.44584922509705</c:v>
                </c:pt>
                <c:pt idx="97">
                  <c:v>719.4637815278578</c:v>
                </c:pt>
                <c:pt idx="98">
                  <c:v>723.47380705933358</c:v>
                </c:pt>
                <c:pt idx="99">
                  <c:v>727.47627717243415</c:v>
                </c:pt>
                <c:pt idx="100">
                  <c:v>731.47152760701158</c:v>
                </c:pt>
                <c:pt idx="101">
                  <c:v>735.45987918365824</c:v>
                </c:pt>
                <c:pt idx="102">
                  <c:v>739.44163846667368</c:v>
                </c:pt>
                <c:pt idx="103">
                  <c:v>743.41709839757084</c:v>
                </c:pt>
                <c:pt idx="104">
                  <c:v>747.38653890043236</c:v>
                </c:pt>
                <c:pt idx="105">
                  <c:v>751.35022746036259</c:v>
                </c:pt>
                <c:pt idx="106">
                  <c:v>755.30841967624144</c:v>
                </c:pt>
                <c:pt idx="107">
                  <c:v>759.26135978890909</c:v>
                </c:pt>
                <c:pt idx="108">
                  <c:v>763.20928118588711</c:v>
                </c:pt>
                <c:pt idx="109">
                  <c:v>767.152406883661</c:v>
                </c:pt>
                <c:pt idx="110">
                  <c:v>771.09094998854346</c:v>
                </c:pt>
                <c:pt idx="111">
                  <c:v>775.02511413704826</c:v>
                </c:pt>
                <c:pt idx="112">
                  <c:v>778.955093916701</c:v>
                </c:pt>
                <c:pt idx="113">
                  <c:v>782.88107526814917</c:v>
                </c:pt>
                <c:pt idx="114">
                  <c:v>786.80323586940074</c:v>
                </c:pt>
                <c:pt idx="115">
                  <c:v>790.72174550299508</c:v>
                </c:pt>
                <c:pt idx="116">
                  <c:v>794.6367664068481</c:v>
                </c:pt>
                <c:pt idx="117">
                  <c:v>798.54845360951788</c:v>
                </c:pt>
                <c:pt idx="118">
                  <c:v>802.4569552505626</c:v>
                </c:pt>
                <c:pt idx="119">
                  <c:v>806.36241288666849</c:v>
                </c:pt>
                <c:pt idx="120">
                  <c:v>810.2649617841729</c:v>
                </c:pt>
                <c:pt idx="121">
                  <c:v>814.16473119858699</c:v>
                </c:pt>
                <c:pt idx="122">
                  <c:v>818.06184464170121</c:v>
                </c:pt>
                <c:pt idx="123">
                  <c:v>821.95642013681493</c:v>
                </c:pt>
                <c:pt idx="124">
                  <c:v>825.84857046263153</c:v>
                </c:pt>
                <c:pt idx="125">
                  <c:v>829.73840338631123</c:v>
                </c:pt>
                <c:pt idx="126">
                  <c:v>833.62602188616859</c:v>
                </c:pt>
                <c:pt idx="127">
                  <c:v>837.51152436447512</c:v>
                </c:pt>
                <c:pt idx="128">
                  <c:v>841.39500485080373</c:v>
                </c:pt>
                <c:pt idx="129">
                  <c:v>845.27655319633743</c:v>
                </c:pt>
                <c:pt idx="130">
                  <c:v>849.15625525954817</c:v>
                </c:pt>
                <c:pt idx="131">
                  <c:v>853.03419308361538</c:v>
                </c:pt>
                <c:pt idx="132">
                  <c:v>856.91044506597098</c:v>
                </c:pt>
                <c:pt idx="133">
                  <c:v>860.78508612030157</c:v>
                </c:pt>
                <c:pt idx="134">
                  <c:v>864.65818783135671</c:v>
                </c:pt>
                <c:pt idx="135">
                  <c:v>868.52981860287889</c:v>
                </c:pt>
                <c:pt idx="136">
                  <c:v>872.40004379895311</c:v>
                </c:pt>
                <c:pt idx="137">
                  <c:v>876.26892587908685</c:v>
                </c:pt>
                <c:pt idx="138">
                  <c:v>880.13652452727263</c:v>
                </c:pt>
                <c:pt idx="139">
                  <c:v>884.00289677532953</c:v>
                </c:pt>
                <c:pt idx="140">
                  <c:v>887.86809712075649</c:v>
                </c:pt>
                <c:pt idx="141">
                  <c:v>891.73217763934747</c:v>
                </c:pt>
                <c:pt idx="142">
                  <c:v>895.59518809280723</c:v>
                </c:pt>
                <c:pt idx="143">
                  <c:v>899.45717603158153</c:v>
                </c:pt>
                <c:pt idx="144">
                  <c:v>903.31818689311729</c:v>
                </c:pt>
                <c:pt idx="145">
                  <c:v>907.17826409576139</c:v>
                </c:pt>
                <c:pt idx="146">
                  <c:v>911.03744912847958</c:v>
                </c:pt>
                <c:pt idx="147">
                  <c:v>914.89578163659473</c:v>
                </c:pt>
                <c:pt idx="148">
                  <c:v>918.75329950371213</c:v>
                </c:pt>
                <c:pt idx="149">
                  <c:v>922.61003893000327</c:v>
                </c:pt>
                <c:pt idx="150">
                  <c:v>926.46603450701593</c:v>
                </c:pt>
                <c:pt idx="151">
                  <c:v>930.32131928915226</c:v>
                </c:pt>
                <c:pt idx="152">
                  <c:v>934.17592486197975</c:v>
                </c:pt>
                <c:pt idx="153">
                  <c:v>938.0298814074971</c:v>
                </c:pt>
                <c:pt idx="154">
                  <c:v>941.88321776650685</c:v>
                </c:pt>
                <c:pt idx="155">
                  <c:v>945.73596149821572</c:v>
                </c:pt>
                <c:pt idx="156">
                  <c:v>949.58813893718036</c:v>
                </c:pt>
                <c:pt idx="157">
                  <c:v>953.43977524773197</c:v>
                </c:pt>
                <c:pt idx="158">
                  <c:v>957.290894475973</c:v>
                </c:pt>
                <c:pt idx="159">
                  <c:v>961.14151959947242</c:v>
                </c:pt>
                <c:pt idx="160">
                  <c:v>964.99167257474403</c:v>
                </c:pt>
                <c:pt idx="161">
                  <c:v>968.84137438262189</c:v>
                </c:pt>
                <c:pt idx="162">
                  <c:v>972.69064507161477</c:v>
                </c:pt>
                <c:pt idx="163">
                  <c:v>976.53950379933769</c:v>
                </c:pt>
                <c:pt idx="164">
                  <c:v>980.38796887209685</c:v>
                </c:pt>
                <c:pt idx="165">
                  <c:v>984.23605778272588</c:v>
                </c:pt>
                <c:pt idx="166">
                  <c:v>988.08378724672605</c:v>
                </c:pt>
                <c:pt idx="167">
                  <c:v>991.9311732368152</c:v>
                </c:pt>
                <c:pt idx="168">
                  <c:v>995.7782310159306</c:v>
                </c:pt>
                <c:pt idx="169">
                  <c:v>999.62497516877067</c:v>
                </c:pt>
                <c:pt idx="170">
                  <c:v>1003.471419631937</c:v>
                </c:pt>
                <c:pt idx="171">
                  <c:v>1007.3175777227258</c:v>
                </c:pt>
                <c:pt idx="172">
                  <c:v>1011.1634621666586</c:v>
                </c:pt>
                <c:pt idx="173">
                  <c:v>1015.0090851237698</c:v>
                </c:pt>
                <c:pt idx="174">
                  <c:v>1018.8544582137393</c:v>
                </c:pt>
                <c:pt idx="175">
                  <c:v>1022.6995925399048</c:v>
                </c:pt>
                <c:pt idx="176">
                  <c:v>1026.5444987122046</c:v>
                </c:pt>
                <c:pt idx="177">
                  <c:v>1030.3891868691039</c:v>
                </c:pt>
                <c:pt idx="178">
                  <c:v>1034.2336666985457</c:v>
                </c:pt>
                <c:pt idx="179">
                  <c:v>1038.0779474579681</c:v>
                </c:pt>
                <c:pt idx="180">
                  <c:v>1041.9220379934404</c:v>
                </c:pt>
                <c:pt idx="181">
                  <c:v>1045.7659467579347</c:v>
                </c:pt>
                <c:pt idx="182">
                  <c:v>1049.6096818288042</c:v>
                </c:pt>
                <c:pt idx="183">
                  <c:v>1053.453250924465</c:v>
                </c:pt>
                <c:pt idx="184">
                  <c:v>1057.296661420351</c:v>
                </c:pt>
                <c:pt idx="185">
                  <c:v>1061.1399203641545</c:v>
                </c:pt>
                <c:pt idx="186">
                  <c:v>1064.9830344903908</c:v>
                </c:pt>
                <c:pt idx="187">
                  <c:v>1068.8260102343129</c:v>
                </c:pt>
                <c:pt idx="188">
                  <c:v>1072.6688537452096</c:v>
                </c:pt>
                <c:pt idx="189">
                  <c:v>1076.5115708991161</c:v>
                </c:pt>
                <c:pt idx="190">
                  <c:v>1080.3541673109535</c:v>
                </c:pt>
                <c:pt idx="191">
                  <c:v>1084.196648346132</c:v>
                </c:pt>
                <c:pt idx="192">
                  <c:v>1088.0390191316392</c:v>
                </c:pt>
                <c:pt idx="193">
                  <c:v>1091.881284566638</c:v>
                </c:pt>
                <c:pt idx="194">
                  <c:v>1095.7234493325832</c:v>
                </c:pt>
                <c:pt idx="195">
                  <c:v>1099.5655179029036</c:v>
                </c:pt>
                <c:pt idx="196">
                  <c:v>1103.4074945522384</c:v>
                </c:pt>
                <c:pt idx="197">
                  <c:v>1107.2493833652793</c:v>
                </c:pt>
                <c:pt idx="198">
                  <c:v>1111.0911882452033</c:v>
                </c:pt>
                <c:pt idx="199">
                  <c:v>1114.9329129217431</c:v>
                </c:pt>
                <c:pt idx="200">
                  <c:v>1118.7745609588947</c:v>
                </c:pt>
                <c:pt idx="201">
                  <c:v>1122.6161357622791</c:v>
                </c:pt>
                <c:pt idx="202">
                  <c:v>1126.4576405861822</c:v>
                </c:pt>
                <c:pt idx="203">
                  <c:v>1130.2990785402808</c:v>
                </c:pt>
              </c:numCache>
            </c:numRef>
          </c:xVal>
          <c:yVal>
            <c:numRef>
              <c:f>[1]Geotherm!$AC$2:$AC$205</c:f>
              <c:numCache>
                <c:formatCode>0.00</c:formatCode>
                <c:ptCount val="204"/>
                <c:pt idx="0">
                  <c:v>0.32361945000000003</c:v>
                </c:pt>
                <c:pt idx="1">
                  <c:v>0.64723890000000006</c:v>
                </c:pt>
                <c:pt idx="2">
                  <c:v>0.97085834999999998</c:v>
                </c:pt>
                <c:pt idx="3">
                  <c:v>1.2944778000000001</c:v>
                </c:pt>
                <c:pt idx="4">
                  <c:v>1.6180972499999999</c:v>
                </c:pt>
                <c:pt idx="5">
                  <c:v>1.9417167</c:v>
                </c:pt>
                <c:pt idx="6">
                  <c:v>2.26533615</c:v>
                </c:pt>
                <c:pt idx="7">
                  <c:v>2.5889556000000002</c:v>
                </c:pt>
                <c:pt idx="8">
                  <c:v>2.9125750500000001</c:v>
                </c:pt>
                <c:pt idx="9">
                  <c:v>3.2361944999999999</c:v>
                </c:pt>
                <c:pt idx="10">
                  <c:v>3.5598139499999997</c:v>
                </c:pt>
                <c:pt idx="11">
                  <c:v>3.8834333999999999</c:v>
                </c:pt>
                <c:pt idx="12">
                  <c:v>4.2070528500000002</c:v>
                </c:pt>
                <c:pt idx="13">
                  <c:v>4.5306723</c:v>
                </c:pt>
                <c:pt idx="14">
                  <c:v>4.8542917499999998</c:v>
                </c:pt>
                <c:pt idx="15">
                  <c:v>5.1779112000000005</c:v>
                </c:pt>
                <c:pt idx="16">
                  <c:v>5.5015306500000003</c:v>
                </c:pt>
                <c:pt idx="17">
                  <c:v>5.8251501000000001</c:v>
                </c:pt>
                <c:pt idx="18">
                  <c:v>6.148769549999999</c:v>
                </c:pt>
                <c:pt idx="19">
                  <c:v>6.4723889999999997</c:v>
                </c:pt>
                <c:pt idx="20">
                  <c:v>6.7960084499999995</c:v>
                </c:pt>
                <c:pt idx="21">
                  <c:v>7.1196278999999993</c:v>
                </c:pt>
                <c:pt idx="22">
                  <c:v>7.44324735</c:v>
                </c:pt>
                <c:pt idx="23">
                  <c:v>7.7668667999999998</c:v>
                </c:pt>
                <c:pt idx="24">
                  <c:v>8.0904862499999997</c:v>
                </c:pt>
                <c:pt idx="25">
                  <c:v>8.4141057000000004</c:v>
                </c:pt>
                <c:pt idx="26">
                  <c:v>8.7377251499999993</c:v>
                </c:pt>
                <c:pt idx="27">
                  <c:v>9.0613446</c:v>
                </c:pt>
                <c:pt idx="28">
                  <c:v>9.3849640500000007</c:v>
                </c:pt>
                <c:pt idx="29">
                  <c:v>9.7085834999999996</c:v>
                </c:pt>
                <c:pt idx="30">
                  <c:v>10.03220295</c:v>
                </c:pt>
                <c:pt idx="31">
                  <c:v>10.355822400000001</c:v>
                </c:pt>
                <c:pt idx="32">
                  <c:v>10.67944185</c:v>
                </c:pt>
                <c:pt idx="33">
                  <c:v>11.003061300000001</c:v>
                </c:pt>
                <c:pt idx="34">
                  <c:v>11.32668075</c:v>
                </c:pt>
                <c:pt idx="35">
                  <c:v>11.6503002</c:v>
                </c:pt>
                <c:pt idx="36">
                  <c:v>11.973919649999999</c:v>
                </c:pt>
                <c:pt idx="37">
                  <c:v>12.297539099999998</c:v>
                </c:pt>
                <c:pt idx="38">
                  <c:v>12.621158550000001</c:v>
                </c:pt>
                <c:pt idx="39">
                  <c:v>12.944777999999999</c:v>
                </c:pt>
                <c:pt idx="40">
                  <c:v>13.26839745</c:v>
                </c:pt>
                <c:pt idx="41">
                  <c:v>13.592016899999999</c:v>
                </c:pt>
                <c:pt idx="42">
                  <c:v>13.91563635</c:v>
                </c:pt>
                <c:pt idx="43">
                  <c:v>14.239255799999999</c:v>
                </c:pt>
                <c:pt idx="44">
                  <c:v>14.562875250000001</c:v>
                </c:pt>
                <c:pt idx="45">
                  <c:v>14.8864947</c:v>
                </c:pt>
                <c:pt idx="46">
                  <c:v>15.210114150000001</c:v>
                </c:pt>
                <c:pt idx="47">
                  <c:v>15.5337336</c:v>
                </c:pt>
                <c:pt idx="48">
                  <c:v>15.85735305</c:v>
                </c:pt>
                <c:pt idx="49">
                  <c:v>16.180972499999999</c:v>
                </c:pt>
                <c:pt idx="50">
                  <c:v>16.504591950000002</c:v>
                </c:pt>
                <c:pt idx="51">
                  <c:v>16.828211400000001</c:v>
                </c:pt>
                <c:pt idx="52">
                  <c:v>17.15183085</c:v>
                </c:pt>
                <c:pt idx="53">
                  <c:v>17.475450299999999</c:v>
                </c:pt>
                <c:pt idx="54">
                  <c:v>17.799069750000001</c:v>
                </c:pt>
                <c:pt idx="55">
                  <c:v>18.1226892</c:v>
                </c:pt>
                <c:pt idx="56">
                  <c:v>18.446308649999999</c:v>
                </c:pt>
                <c:pt idx="57">
                  <c:v>18.769928100000001</c:v>
                </c:pt>
                <c:pt idx="58">
                  <c:v>19.09354755</c:v>
                </c:pt>
                <c:pt idx="59">
                  <c:v>19.417166999999999</c:v>
                </c:pt>
                <c:pt idx="60">
                  <c:v>19.740786450000002</c:v>
                </c:pt>
                <c:pt idx="61">
                  <c:v>20.064405900000001</c:v>
                </c:pt>
                <c:pt idx="62">
                  <c:v>20.388025349999999</c:v>
                </c:pt>
                <c:pt idx="63">
                  <c:v>20.711644800000002</c:v>
                </c:pt>
                <c:pt idx="64">
                  <c:v>21.035264250000001</c:v>
                </c:pt>
                <c:pt idx="65">
                  <c:v>21.3588837</c:v>
                </c:pt>
                <c:pt idx="66">
                  <c:v>21.682503149999999</c:v>
                </c:pt>
                <c:pt idx="67">
                  <c:v>22.006122600000001</c:v>
                </c:pt>
                <c:pt idx="68">
                  <c:v>22.32974205</c:v>
                </c:pt>
                <c:pt idx="69">
                  <c:v>22.653361499999999</c:v>
                </c:pt>
                <c:pt idx="70">
                  <c:v>22.976980949999998</c:v>
                </c:pt>
                <c:pt idx="71">
                  <c:v>23.3006004</c:v>
                </c:pt>
                <c:pt idx="72">
                  <c:v>23.624219850000003</c:v>
                </c:pt>
                <c:pt idx="73">
                  <c:v>23.947839299999998</c:v>
                </c:pt>
                <c:pt idx="74">
                  <c:v>24.271458750000001</c:v>
                </c:pt>
                <c:pt idx="75">
                  <c:v>24.595078199999996</c:v>
                </c:pt>
                <c:pt idx="76">
                  <c:v>24.918697650000002</c:v>
                </c:pt>
                <c:pt idx="77">
                  <c:v>25.242317100000001</c:v>
                </c:pt>
                <c:pt idx="78">
                  <c:v>25.56593655</c:v>
                </c:pt>
                <c:pt idx="79">
                  <c:v>25.889555999999999</c:v>
                </c:pt>
                <c:pt idx="80">
                  <c:v>26.213175450000001</c:v>
                </c:pt>
                <c:pt idx="81">
                  <c:v>26.5367949</c:v>
                </c:pt>
                <c:pt idx="82">
                  <c:v>26.860414349999999</c:v>
                </c:pt>
                <c:pt idx="83">
                  <c:v>27.184033799999998</c:v>
                </c:pt>
                <c:pt idx="84">
                  <c:v>27.507653250000001</c:v>
                </c:pt>
                <c:pt idx="85">
                  <c:v>27.8312727</c:v>
                </c:pt>
                <c:pt idx="86">
                  <c:v>28.154892149999998</c:v>
                </c:pt>
                <c:pt idx="87">
                  <c:v>28.478511599999997</c:v>
                </c:pt>
                <c:pt idx="88">
                  <c:v>28.80213105</c:v>
                </c:pt>
                <c:pt idx="89">
                  <c:v>29.125750500000002</c:v>
                </c:pt>
                <c:pt idx="90">
                  <c:v>29.449369949999998</c:v>
                </c:pt>
                <c:pt idx="91">
                  <c:v>29.7729894</c:v>
                </c:pt>
                <c:pt idx="92">
                  <c:v>30.096608850000003</c:v>
                </c:pt>
                <c:pt idx="93">
                  <c:v>30.420228300000002</c:v>
                </c:pt>
                <c:pt idx="94">
                  <c:v>30.74384775</c:v>
                </c:pt>
                <c:pt idx="95">
                  <c:v>31.067467199999999</c:v>
                </c:pt>
                <c:pt idx="96">
                  <c:v>31.391086650000002</c:v>
                </c:pt>
                <c:pt idx="97">
                  <c:v>31.714706100000001</c:v>
                </c:pt>
                <c:pt idx="98">
                  <c:v>32.038325549999996</c:v>
                </c:pt>
                <c:pt idx="99">
                  <c:v>32.361944999999999</c:v>
                </c:pt>
                <c:pt idx="100">
                  <c:v>32.685564450000001</c:v>
                </c:pt>
                <c:pt idx="101">
                  <c:v>33.009183900000004</c:v>
                </c:pt>
                <c:pt idx="102">
                  <c:v>33.332803349999999</c:v>
                </c:pt>
                <c:pt idx="103">
                  <c:v>33.656422800000001</c:v>
                </c:pt>
                <c:pt idx="104">
                  <c:v>33.980042250000004</c:v>
                </c:pt>
                <c:pt idx="105">
                  <c:v>34.303661699999999</c:v>
                </c:pt>
                <c:pt idx="106">
                  <c:v>34.627281150000002</c:v>
                </c:pt>
                <c:pt idx="107">
                  <c:v>34.950900599999997</c:v>
                </c:pt>
                <c:pt idx="108">
                  <c:v>35.27452005</c:v>
                </c:pt>
                <c:pt idx="109">
                  <c:v>35.598139500000002</c:v>
                </c:pt>
                <c:pt idx="110">
                  <c:v>35.921758949999997</c:v>
                </c:pt>
                <c:pt idx="111">
                  <c:v>36.2453784</c:v>
                </c:pt>
                <c:pt idx="112">
                  <c:v>36.568997849999995</c:v>
                </c:pt>
                <c:pt idx="113">
                  <c:v>36.892617299999998</c:v>
                </c:pt>
                <c:pt idx="114">
                  <c:v>37.21623675</c:v>
                </c:pt>
                <c:pt idx="115">
                  <c:v>37.539856200000003</c:v>
                </c:pt>
                <c:pt idx="116">
                  <c:v>37.863475649999998</c:v>
                </c:pt>
                <c:pt idx="117">
                  <c:v>38.187095100000001</c:v>
                </c:pt>
                <c:pt idx="118">
                  <c:v>38.510714550000003</c:v>
                </c:pt>
                <c:pt idx="119">
                  <c:v>38.834333999999998</c:v>
                </c:pt>
                <c:pt idx="120">
                  <c:v>39.157953450000001</c:v>
                </c:pt>
                <c:pt idx="121">
                  <c:v>39.481572900000003</c:v>
                </c:pt>
                <c:pt idx="122">
                  <c:v>39.805192349999999</c:v>
                </c:pt>
                <c:pt idx="123">
                  <c:v>40.128811800000001</c:v>
                </c:pt>
                <c:pt idx="124">
                  <c:v>40.452431249999997</c:v>
                </c:pt>
                <c:pt idx="125">
                  <c:v>40.776050699999999</c:v>
                </c:pt>
                <c:pt idx="126">
                  <c:v>41.099670149999994</c:v>
                </c:pt>
                <c:pt idx="127">
                  <c:v>41.423289600000004</c:v>
                </c:pt>
                <c:pt idx="128">
                  <c:v>41.746909049999999</c:v>
                </c:pt>
                <c:pt idx="129">
                  <c:v>42.070528500000002</c:v>
                </c:pt>
                <c:pt idx="130">
                  <c:v>42.394147950000004</c:v>
                </c:pt>
                <c:pt idx="131">
                  <c:v>42.7177674</c:v>
                </c:pt>
                <c:pt idx="132">
                  <c:v>43.041386849999995</c:v>
                </c:pt>
                <c:pt idx="133">
                  <c:v>43.365006299999997</c:v>
                </c:pt>
                <c:pt idx="134">
                  <c:v>43.68862575</c:v>
                </c:pt>
                <c:pt idx="135">
                  <c:v>44.012245200000002</c:v>
                </c:pt>
                <c:pt idx="136">
                  <c:v>44.335864650000005</c:v>
                </c:pt>
                <c:pt idx="137">
                  <c:v>44.6594841</c:v>
                </c:pt>
                <c:pt idx="138">
                  <c:v>44.983103550000003</c:v>
                </c:pt>
                <c:pt idx="139">
                  <c:v>45.306722999999998</c:v>
                </c:pt>
                <c:pt idx="140">
                  <c:v>45.630342450000001</c:v>
                </c:pt>
                <c:pt idx="141">
                  <c:v>45.953961899999996</c:v>
                </c:pt>
                <c:pt idx="142">
                  <c:v>46.277581349999998</c:v>
                </c:pt>
                <c:pt idx="143">
                  <c:v>46.601200800000001</c:v>
                </c:pt>
                <c:pt idx="144">
                  <c:v>46.924820250000003</c:v>
                </c:pt>
                <c:pt idx="145">
                  <c:v>47.248439700000006</c:v>
                </c:pt>
                <c:pt idx="146">
                  <c:v>47.572059150000001</c:v>
                </c:pt>
                <c:pt idx="147">
                  <c:v>47.895678599999997</c:v>
                </c:pt>
                <c:pt idx="148">
                  <c:v>48.219298049999999</c:v>
                </c:pt>
                <c:pt idx="149">
                  <c:v>48.542917500000001</c:v>
                </c:pt>
                <c:pt idx="150">
                  <c:v>48.866536949999997</c:v>
                </c:pt>
                <c:pt idx="151">
                  <c:v>49.190156399999992</c:v>
                </c:pt>
                <c:pt idx="152">
                  <c:v>49.513775850000002</c:v>
                </c:pt>
                <c:pt idx="153">
                  <c:v>49.837395300000004</c:v>
                </c:pt>
                <c:pt idx="154">
                  <c:v>50.16101475</c:v>
                </c:pt>
                <c:pt idx="155">
                  <c:v>50.484634200000002</c:v>
                </c:pt>
                <c:pt idx="156">
                  <c:v>50.808253649999997</c:v>
                </c:pt>
                <c:pt idx="157">
                  <c:v>51.1318731</c:v>
                </c:pt>
                <c:pt idx="158">
                  <c:v>51.455492549999995</c:v>
                </c:pt>
                <c:pt idx="159">
                  <c:v>51.779111999999998</c:v>
                </c:pt>
                <c:pt idx="160">
                  <c:v>52.102731450000007</c:v>
                </c:pt>
                <c:pt idx="161">
                  <c:v>52.426350900000003</c:v>
                </c:pt>
                <c:pt idx="162">
                  <c:v>52.749970349999998</c:v>
                </c:pt>
                <c:pt idx="163">
                  <c:v>53.073589800000001</c:v>
                </c:pt>
                <c:pt idx="164">
                  <c:v>53.397209250000003</c:v>
                </c:pt>
                <c:pt idx="165">
                  <c:v>53.720828699999998</c:v>
                </c:pt>
                <c:pt idx="166">
                  <c:v>54.044448149999994</c:v>
                </c:pt>
                <c:pt idx="167">
                  <c:v>54.368067599999996</c:v>
                </c:pt>
                <c:pt idx="168">
                  <c:v>54.691687050000006</c:v>
                </c:pt>
                <c:pt idx="169">
                  <c:v>55.015306500000001</c:v>
                </c:pt>
                <c:pt idx="170">
                  <c:v>55.338925950000004</c:v>
                </c:pt>
                <c:pt idx="171">
                  <c:v>55.662545399999999</c:v>
                </c:pt>
                <c:pt idx="172">
                  <c:v>55.986164850000002</c:v>
                </c:pt>
                <c:pt idx="173">
                  <c:v>56.309784299999997</c:v>
                </c:pt>
                <c:pt idx="174">
                  <c:v>56.633403749999999</c:v>
                </c:pt>
                <c:pt idx="175">
                  <c:v>56.957023199999995</c:v>
                </c:pt>
                <c:pt idx="176">
                  <c:v>57.280642650000004</c:v>
                </c:pt>
                <c:pt idx="177">
                  <c:v>57.6042621</c:v>
                </c:pt>
                <c:pt idx="178">
                  <c:v>57.927881550000002</c:v>
                </c:pt>
                <c:pt idx="179">
                  <c:v>58.251501000000005</c:v>
                </c:pt>
                <c:pt idx="180">
                  <c:v>58.57512045</c:v>
                </c:pt>
                <c:pt idx="181">
                  <c:v>58.898739899999995</c:v>
                </c:pt>
                <c:pt idx="182">
                  <c:v>59.222359349999998</c:v>
                </c:pt>
                <c:pt idx="183">
                  <c:v>59.5459788</c:v>
                </c:pt>
                <c:pt idx="184">
                  <c:v>59.869598249999996</c:v>
                </c:pt>
                <c:pt idx="185">
                  <c:v>60.193217700000005</c:v>
                </c:pt>
                <c:pt idx="186">
                  <c:v>60.516837150000001</c:v>
                </c:pt>
                <c:pt idx="187">
                  <c:v>60.840456600000003</c:v>
                </c:pt>
                <c:pt idx="188">
                  <c:v>61.164076049999998</c:v>
                </c:pt>
                <c:pt idx="189">
                  <c:v>61.487695500000001</c:v>
                </c:pt>
                <c:pt idx="190">
                  <c:v>61.811314949999996</c:v>
                </c:pt>
                <c:pt idx="191">
                  <c:v>62.134934399999999</c:v>
                </c:pt>
                <c:pt idx="192">
                  <c:v>62.458553849999994</c:v>
                </c:pt>
                <c:pt idx="193">
                  <c:v>62.782173300000004</c:v>
                </c:pt>
                <c:pt idx="194">
                  <c:v>63.105792750000006</c:v>
                </c:pt>
                <c:pt idx="195">
                  <c:v>63.429412200000002</c:v>
                </c:pt>
                <c:pt idx="196">
                  <c:v>63.753031649999997</c:v>
                </c:pt>
                <c:pt idx="197">
                  <c:v>64.076651099999992</c:v>
                </c:pt>
                <c:pt idx="198">
                  <c:v>64.400270550000002</c:v>
                </c:pt>
                <c:pt idx="199">
                  <c:v>64.723889999999997</c:v>
                </c:pt>
                <c:pt idx="200">
                  <c:v>65.047509449999993</c:v>
                </c:pt>
                <c:pt idx="201">
                  <c:v>65.371128900000002</c:v>
                </c:pt>
                <c:pt idx="202">
                  <c:v>65.694748349999998</c:v>
                </c:pt>
                <c:pt idx="203">
                  <c:v>66.018367800000007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75-4568-9A38-3CC102200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9359007"/>
        <c:axId val="1789339455"/>
      </c:scatterChart>
      <c:valAx>
        <c:axId val="1789359007"/>
        <c:scaling>
          <c:orientation val="minMax"/>
          <c:max val="15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39455"/>
        <c:crosses val="autoZero"/>
        <c:crossBetween val="midCat"/>
      </c:valAx>
      <c:valAx>
        <c:axId val="178933945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93590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297186</xdr:colOff>
      <xdr:row>183</xdr:row>
      <xdr:rowOff>175260</xdr:rowOff>
    </xdr:from>
    <xdr:to>
      <xdr:col>21</xdr:col>
      <xdr:colOff>601986</xdr:colOff>
      <xdr:row>198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3DF6E-A261-4C21-AF65-B17BEEC28D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45720</xdr:colOff>
      <xdr:row>182</xdr:row>
      <xdr:rowOff>137160</xdr:rowOff>
    </xdr:from>
    <xdr:to>
      <xdr:col>11</xdr:col>
      <xdr:colOff>350520</xdr:colOff>
      <xdr:row>197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9AA60D-C97D-4B61-910C-E164E82E31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133350</xdr:colOff>
      <xdr:row>185</xdr:row>
      <xdr:rowOff>0</xdr:rowOff>
    </xdr:from>
    <xdr:to>
      <xdr:col>14</xdr:col>
      <xdr:colOff>415290</xdr:colOff>
      <xdr:row>200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CD6CC46-77F4-40E7-82A2-90FDB95C5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255814</xdr:colOff>
      <xdr:row>11</xdr:row>
      <xdr:rowOff>65314</xdr:rowOff>
    </xdr:from>
    <xdr:to>
      <xdr:col>20</xdr:col>
      <xdr:colOff>538843</xdr:colOff>
      <xdr:row>26</xdr:row>
      <xdr:rowOff>32657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D459D-D0EC-4E1C-8DF5-C18A57949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hD%20Thesis%20-%20July%202023\PhD%20Thesis\Data\SlaveData.xlsx" TargetMode="External"/><Relationship Id="rId1" Type="http://schemas.openxmlformats.org/officeDocument/2006/relationships/externalLinkPath" Target="file:///D:\PhD%20Thesis%20-%20July%202023\PhD%20Thesis\Data\Slave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ridotite"/>
      <sheetName val="Sorted Rim components"/>
      <sheetName val="P-T results"/>
      <sheetName val="LdG P sorted"/>
      <sheetName val="Geotherm"/>
      <sheetName val="Peridotite Populations"/>
      <sheetName val="Per - P"/>
      <sheetName val="T-test"/>
      <sheetName val="Eclogite"/>
      <sheetName val="Diamond eclogite"/>
      <sheetName val="Eclogite modes"/>
      <sheetName val="Pyroxenite"/>
      <sheetName val="Pyx Spider"/>
      <sheetName val="Pyx opx spider"/>
      <sheetName val="Olivine Xenocrysts"/>
      <sheetName val="Sorted Olivine Xenocrysts"/>
      <sheetName val="Olivine Rims-Phenocrysts"/>
      <sheetName val="Olivine Hz-Phn"/>
      <sheetName val="Sheet1"/>
      <sheetName val="p-Mg# - 1"/>
      <sheetName val="p-Mg#"/>
      <sheetName val="Xenocryst P"/>
      <sheetName val="Eclogite - High-Mg paper"/>
      <sheetName val="Eclogite - High-Mg paper (2)"/>
      <sheetName val="High-Mg HFSE"/>
    </sheetNames>
    <sheetDataSet>
      <sheetData sheetId="0"/>
      <sheetData sheetId="1"/>
      <sheetData sheetId="2"/>
      <sheetData sheetId="3"/>
      <sheetData sheetId="4">
        <row r="2">
          <cell r="A2">
            <v>1</v>
          </cell>
          <cell r="M2">
            <v>0.32361945000000003</v>
          </cell>
          <cell r="AC2">
            <v>0.32361945000000003</v>
          </cell>
          <cell r="AD2">
            <v>36.315093503382343</v>
          </cell>
        </row>
        <row r="3">
          <cell r="A3">
            <v>2</v>
          </cell>
          <cell r="M3">
            <v>0.64723890000000006</v>
          </cell>
          <cell r="AC3">
            <v>0.64723890000000006</v>
          </cell>
          <cell r="AD3">
            <v>54.13029225718185</v>
          </cell>
        </row>
        <row r="4">
          <cell r="A4">
            <v>3</v>
          </cell>
          <cell r="M4">
            <v>0.97085834999999998</v>
          </cell>
          <cell r="AC4">
            <v>0.97085834999999998</v>
          </cell>
          <cell r="AD4">
            <v>71.324475610815227</v>
          </cell>
        </row>
        <row r="5">
          <cell r="A5">
            <v>4</v>
          </cell>
          <cell r="M5">
            <v>1.2944778000000001</v>
          </cell>
          <cell r="AC5">
            <v>1.2944778000000001</v>
          </cell>
          <cell r="AD5">
            <v>87.925239603096543</v>
          </cell>
        </row>
        <row r="6">
          <cell r="A6">
            <v>5</v>
          </cell>
          <cell r="M6">
            <v>1.6180972499999999</v>
          </cell>
          <cell r="AC6">
            <v>1.6180972499999999</v>
          </cell>
          <cell r="AD6">
            <v>103.95895398866395</v>
          </cell>
        </row>
        <row r="7">
          <cell r="A7">
            <v>6</v>
          </cell>
          <cell r="M7">
            <v>1.9417167</v>
          </cell>
          <cell r="AC7">
            <v>1.9417167</v>
          </cell>
          <cell r="AD7">
            <v>119.45081673032496</v>
          </cell>
        </row>
        <row r="8">
          <cell r="A8">
            <v>7</v>
          </cell>
          <cell r="M8">
            <v>2.26533615</v>
          </cell>
          <cell r="AC8">
            <v>2.26533615</v>
          </cell>
          <cell r="AD8">
            <v>134.42490606992789</v>
          </cell>
        </row>
        <row r="9">
          <cell r="A9">
            <v>8</v>
          </cell>
          <cell r="M9">
            <v>2.5889556000000002</v>
          </cell>
          <cell r="AC9">
            <v>2.5889556000000002</v>
          </cell>
          <cell r="AD9">
            <v>148.90423028536105</v>
          </cell>
        </row>
        <row r="10">
          <cell r="A10">
            <v>9</v>
          </cell>
          <cell r="M10">
            <v>2.9125750500000001</v>
          </cell>
          <cell r="AC10">
            <v>2.9125750500000001</v>
          </cell>
          <cell r="AD10">
            <v>162.91077523650318</v>
          </cell>
        </row>
        <row r="11">
          <cell r="A11">
            <v>10</v>
          </cell>
          <cell r="M11">
            <v>3.2361944999999999</v>
          </cell>
          <cell r="AC11">
            <v>3.2361944999999999</v>
          </cell>
          <cell r="AD11">
            <v>176.46554979837441</v>
          </cell>
        </row>
        <row r="12">
          <cell r="A12">
            <v>11</v>
          </cell>
          <cell r="M12">
            <v>3.5598139499999997</v>
          </cell>
          <cell r="AC12">
            <v>3.5598139499999997</v>
          </cell>
          <cell r="AD12">
            <v>189.58862927537814</v>
          </cell>
        </row>
        <row r="13">
          <cell r="A13">
            <v>12</v>
          </cell>
          <cell r="M13">
            <v>3.8834333999999999</v>
          </cell>
          <cell r="AC13">
            <v>3.8834333999999999</v>
          </cell>
          <cell r="AD13">
            <v>202.29919688634357</v>
          </cell>
        </row>
        <row r="14">
          <cell r="A14">
            <v>13</v>
          </cell>
          <cell r="M14">
            <v>4.2070528500000002</v>
          </cell>
          <cell r="AC14">
            <v>4.2070528500000002</v>
          </cell>
          <cell r="AD14">
            <v>214.61558340610071</v>
          </cell>
        </row>
        <row r="15">
          <cell r="A15">
            <v>14</v>
          </cell>
          <cell r="M15">
            <v>4.5306723</v>
          </cell>
          <cell r="AC15">
            <v>4.5306723</v>
          </cell>
          <cell r="AD15">
            <v>226.55530504550353</v>
          </cell>
        </row>
        <row r="16">
          <cell r="A16">
            <v>15</v>
          </cell>
          <cell r="M16">
            <v>4.8542917499999998</v>
          </cell>
          <cell r="AC16">
            <v>4.8542917499999998</v>
          </cell>
          <cell r="AD16">
            <v>238.13509964817911</v>
          </cell>
        </row>
        <row r="17">
          <cell r="A17">
            <v>16</v>
          </cell>
          <cell r="M17">
            <v>5.1779112000000005</v>
          </cell>
          <cell r="AC17">
            <v>5.1779112000000005</v>
          </cell>
          <cell r="AD17">
            <v>249.37096127880466</v>
          </cell>
        </row>
        <row r="18">
          <cell r="A18">
            <v>17</v>
          </cell>
          <cell r="M18">
            <v>5.5015306500000003</v>
          </cell>
          <cell r="AC18">
            <v>5.5015306500000003</v>
          </cell>
          <cell r="AD18">
            <v>260.27817327438538</v>
          </cell>
        </row>
        <row r="19">
          <cell r="A19">
            <v>18</v>
          </cell>
          <cell r="M19">
            <v>5.8251501000000001</v>
          </cell>
          <cell r="AC19">
            <v>5.8251501000000001</v>
          </cell>
          <cell r="AD19">
            <v>270.87133982683417</v>
          </cell>
        </row>
        <row r="20">
          <cell r="A20">
            <v>19</v>
          </cell>
          <cell r="M20">
            <v>6.148769549999999</v>
          </cell>
          <cell r="AC20">
            <v>6.148769549999999</v>
          </cell>
          <cell r="AD20">
            <v>281.1644161621175</v>
          </cell>
        </row>
        <row r="21">
          <cell r="A21">
            <v>20</v>
          </cell>
          <cell r="M21">
            <v>6.4723889999999997</v>
          </cell>
          <cell r="AC21">
            <v>6.4723889999999997</v>
          </cell>
          <cell r="AD21">
            <v>291.17073737833175</v>
          </cell>
        </row>
        <row r="22">
          <cell r="A22">
            <v>21</v>
          </cell>
          <cell r="M22">
            <v>6.7960084499999995</v>
          </cell>
          <cell r="AC22">
            <v>6.7960084499999995</v>
          </cell>
          <cell r="AD22">
            <v>300.90304600230309</v>
          </cell>
        </row>
        <row r="23">
          <cell r="A23">
            <v>22</v>
          </cell>
          <cell r="M23">
            <v>7.1196278999999993</v>
          </cell>
          <cell r="AC23">
            <v>7.1196278999999993</v>
          </cell>
          <cell r="AD23">
            <v>310.37351832165496</v>
          </cell>
        </row>
        <row r="24">
          <cell r="A24">
            <v>23</v>
          </cell>
          <cell r="M24">
            <v>7.44324735</v>
          </cell>
          <cell r="AC24">
            <v>7.44324735</v>
          </cell>
          <cell r="AD24">
            <v>319.59378954675935</v>
          </cell>
        </row>
        <row r="25">
          <cell r="A25">
            <v>24</v>
          </cell>
          <cell r="M25">
            <v>7.7668667999999998</v>
          </cell>
          <cell r="AC25">
            <v>7.7668667999999998</v>
          </cell>
          <cell r="AD25">
            <v>328.57497785456701</v>
          </cell>
        </row>
        <row r="26">
          <cell r="A26">
            <v>25</v>
          </cell>
          <cell r="M26">
            <v>8.0904862499999997</v>
          </cell>
          <cell r="AC26">
            <v>8.0904862499999997</v>
          </cell>
          <cell r="AD26">
            <v>337.32770736400255</v>
          </cell>
        </row>
        <row r="27">
          <cell r="A27">
            <v>26</v>
          </cell>
          <cell r="M27">
            <v>8.4141057000000004</v>
          </cell>
          <cell r="AC27">
            <v>8.4141057000000004</v>
          </cell>
          <cell r="AD27">
            <v>345.86213009040364</v>
          </cell>
        </row>
        <row r="28">
          <cell r="A28">
            <v>27</v>
          </cell>
          <cell r="M28">
            <v>8.7377251499999993</v>
          </cell>
          <cell r="AC28">
            <v>8.7377251499999993</v>
          </cell>
          <cell r="AD28">
            <v>354.18794692437041</v>
          </cell>
        </row>
        <row r="29">
          <cell r="A29">
            <v>28</v>
          </cell>
          <cell r="M29">
            <v>9.0613446</v>
          </cell>
          <cell r="AC29">
            <v>9.0613446</v>
          </cell>
          <cell r="AD29">
            <v>362.31442767837893</v>
          </cell>
        </row>
        <row r="30">
          <cell r="A30">
            <v>29</v>
          </cell>
          <cell r="M30">
            <v>9.3849640500000007</v>
          </cell>
          <cell r="AC30">
            <v>9.3849640500000007</v>
          </cell>
          <cell r="AD30">
            <v>370.25043024258503</v>
          </cell>
        </row>
        <row r="31">
          <cell r="A31">
            <v>30</v>
          </cell>
          <cell r="M31">
            <v>9.7085834999999996</v>
          </cell>
          <cell r="AC31">
            <v>9.7085834999999996</v>
          </cell>
          <cell r="AD31">
            <v>378.00441888940043</v>
          </cell>
        </row>
        <row r="32">
          <cell r="A32">
            <v>31</v>
          </cell>
          <cell r="M32">
            <v>10.03220295</v>
          </cell>
          <cell r="AC32">
            <v>10.03220295</v>
          </cell>
          <cell r="AD32">
            <v>385.58448176467084</v>
          </cell>
        </row>
        <row r="33">
          <cell r="A33">
            <v>32</v>
          </cell>
          <cell r="M33">
            <v>10.355822400000001</v>
          </cell>
          <cell r="AC33">
            <v>10.355822400000001</v>
          </cell>
          <cell r="AD33">
            <v>392.99834760159865</v>
          </cell>
        </row>
        <row r="34">
          <cell r="A34">
            <v>33</v>
          </cell>
          <cell r="M34">
            <v>10.67944185</v>
          </cell>
          <cell r="AC34">
            <v>10.67944185</v>
          </cell>
          <cell r="AD34">
            <v>400.25340169194885</v>
          </cell>
        </row>
        <row r="35">
          <cell r="A35">
            <v>34</v>
          </cell>
          <cell r="M35">
            <v>11.003061300000001</v>
          </cell>
          <cell r="AC35">
            <v>11.003061300000001</v>
          </cell>
          <cell r="AD35">
            <v>407.3567011475443</v>
          </cell>
        </row>
        <row r="36">
          <cell r="A36">
            <v>35</v>
          </cell>
          <cell r="M36">
            <v>11.32668075</v>
          </cell>
          <cell r="AC36">
            <v>11.32668075</v>
          </cell>
          <cell r="AD36">
            <v>414.31498948358569</v>
          </cell>
        </row>
        <row r="37">
          <cell r="A37">
            <v>36</v>
          </cell>
          <cell r="M37">
            <v>11.6503002</v>
          </cell>
          <cell r="AC37">
            <v>11.6503002</v>
          </cell>
          <cell r="AD37">
            <v>421.13471055393336</v>
          </cell>
        </row>
        <row r="38">
          <cell r="A38">
            <v>37</v>
          </cell>
          <cell r="M38">
            <v>11.973919649999999</v>
          </cell>
          <cell r="AC38">
            <v>11.973919649999999</v>
          </cell>
          <cell r="AD38">
            <v>427.82202186714744</v>
          </cell>
        </row>
        <row r="39">
          <cell r="A39">
            <v>38</v>
          </cell>
          <cell r="M39">
            <v>12.297539099999998</v>
          </cell>
          <cell r="AC39">
            <v>12.297539099999998</v>
          </cell>
          <cell r="AD39">
            <v>434.38280731080329</v>
          </cell>
        </row>
        <row r="40">
          <cell r="A40">
            <v>39</v>
          </cell>
          <cell r="M40">
            <v>12.621158550000001</v>
          </cell>
          <cell r="AC40">
            <v>12.621158550000001</v>
          </cell>
          <cell r="AD40">
            <v>440.82268931037777</v>
          </cell>
        </row>
        <row r="41">
          <cell r="A41">
            <v>40</v>
          </cell>
          <cell r="M41">
            <v>12.944777999999999</v>
          </cell>
          <cell r="AC41">
            <v>12.944777999999999</v>
          </cell>
          <cell r="AD41">
            <v>447.14704044783014</v>
          </cell>
        </row>
        <row r="42">
          <cell r="A42">
            <v>41</v>
          </cell>
          <cell r="M42">
            <v>13.26839745</v>
          </cell>
          <cell r="AC42">
            <v>13.26839745</v>
          </cell>
          <cell r="AD42">
            <v>453.36099456389104</v>
          </cell>
        </row>
        <row r="43">
          <cell r="A43">
            <v>42</v>
          </cell>
          <cell r="M43">
            <v>13.592016899999999</v>
          </cell>
          <cell r="AC43">
            <v>13.592016899999999</v>
          </cell>
          <cell r="AD43">
            <v>459.46945736699524</v>
          </cell>
        </row>
        <row r="44">
          <cell r="A44">
            <v>43</v>
          </cell>
          <cell r="M44">
            <v>13.91563635</v>
          </cell>
          <cell r="AC44">
            <v>13.91563635</v>
          </cell>
          <cell r="AD44">
            <v>465.47711657079174</v>
          </cell>
        </row>
        <row r="45">
          <cell r="A45">
            <v>44</v>
          </cell>
          <cell r="M45">
            <v>14.239255799999999</v>
          </cell>
          <cell r="AC45">
            <v>14.239255799999999</v>
          </cell>
          <cell r="AD45">
            <v>471.38845158116612</v>
          </cell>
        </row>
        <row r="46">
          <cell r="A46">
            <v>45</v>
          </cell>
          <cell r="M46">
            <v>14.562875250000001</v>
          </cell>
          <cell r="AC46">
            <v>14.562875250000001</v>
          </cell>
          <cell r="AD46">
            <v>477.20774275280826</v>
          </cell>
        </row>
        <row r="47">
          <cell r="A47">
            <v>46</v>
          </cell>
          <cell r="M47">
            <v>14.8864947</v>
          </cell>
          <cell r="AC47">
            <v>14.8864947</v>
          </cell>
          <cell r="AD47">
            <v>482.9390802344418</v>
          </cell>
        </row>
        <row r="48">
          <cell r="A48">
            <v>47</v>
          </cell>
          <cell r="M48">
            <v>15.210114150000001</v>
          </cell>
          <cell r="AC48">
            <v>15.210114150000001</v>
          </cell>
          <cell r="AD48">
            <v>488.58637242099928</v>
          </cell>
        </row>
        <row r="49">
          <cell r="A49">
            <v>48</v>
          </cell>
          <cell r="M49">
            <v>15.5337336</v>
          </cell>
          <cell r="AC49">
            <v>15.5337336</v>
          </cell>
          <cell r="AD49">
            <v>494.15335403021038</v>
          </cell>
        </row>
        <row r="50">
          <cell r="A50">
            <v>49</v>
          </cell>
          <cell r="M50">
            <v>15.85735305</v>
          </cell>
          <cell r="AC50">
            <v>15.85735305</v>
          </cell>
          <cell r="AD50">
            <v>499.64359382028749</v>
          </cell>
        </row>
        <row r="51">
          <cell r="A51">
            <v>50</v>
          </cell>
          <cell r="M51">
            <v>16.180972499999999</v>
          </cell>
          <cell r="AC51">
            <v>16.180972499999999</v>
          </cell>
          <cell r="AD51">
            <v>505.06050196466413</v>
          </cell>
        </row>
        <row r="52">
          <cell r="A52">
            <v>51</v>
          </cell>
          <cell r="M52">
            <v>16.504591950000002</v>
          </cell>
          <cell r="AC52">
            <v>16.504591950000002</v>
          </cell>
          <cell r="AD52">
            <v>510.40733709902122</v>
          </cell>
        </row>
        <row r="53">
          <cell r="A53">
            <v>52</v>
          </cell>
          <cell r="M53">
            <v>16.828211400000001</v>
          </cell>
          <cell r="AC53">
            <v>16.828211400000001</v>
          </cell>
          <cell r="AD53">
            <v>515.68721305516272</v>
          </cell>
        </row>
        <row r="54">
          <cell r="A54">
            <v>53</v>
          </cell>
          <cell r="M54">
            <v>17.15183085</v>
          </cell>
          <cell r="AC54">
            <v>17.15183085</v>
          </cell>
          <cell r="AD54">
            <v>520.90310529566352</v>
          </cell>
        </row>
        <row r="55">
          <cell r="A55">
            <v>54</v>
          </cell>
          <cell r="M55">
            <v>17.475450299999999</v>
          </cell>
          <cell r="AC55">
            <v>17.475450299999999</v>
          </cell>
          <cell r="AD55">
            <v>526.05785706257427</v>
          </cell>
        </row>
        <row r="56">
          <cell r="A56">
            <v>55</v>
          </cell>
          <cell r="M56">
            <v>17.799069750000001</v>
          </cell>
          <cell r="AC56">
            <v>17.799069750000001</v>
          </cell>
          <cell r="AD56">
            <v>531.15418525290249</v>
          </cell>
        </row>
        <row r="57">
          <cell r="A57">
            <v>56</v>
          </cell>
          <cell r="M57">
            <v>18.1226892</v>
          </cell>
          <cell r="AC57">
            <v>18.1226892</v>
          </cell>
          <cell r="AD57">
            <v>536.19468603300197</v>
          </cell>
        </row>
        <row r="58">
          <cell r="A58">
            <v>57</v>
          </cell>
          <cell r="M58">
            <v>18.446308649999999</v>
          </cell>
          <cell r="AC58">
            <v>18.446308649999999</v>
          </cell>
          <cell r="AD58">
            <v>541.18184020347644</v>
          </cell>
        </row>
        <row r="59">
          <cell r="A59">
            <v>58</v>
          </cell>
          <cell r="M59">
            <v>18.769928100000001</v>
          </cell>
          <cell r="AC59">
            <v>18.769928100000001</v>
          </cell>
          <cell r="AD59">
            <v>546.11801832568278</v>
          </cell>
        </row>
        <row r="60">
          <cell r="A60">
            <v>59</v>
          </cell>
          <cell r="M60">
            <v>19.09354755</v>
          </cell>
          <cell r="AC60">
            <v>19.09354755</v>
          </cell>
          <cell r="AD60">
            <v>551.005485620429</v>
          </cell>
        </row>
        <row r="61">
          <cell r="A61">
            <v>60</v>
          </cell>
          <cell r="M61">
            <v>19.417166999999999</v>
          </cell>
          <cell r="AC61">
            <v>19.417166999999999</v>
          </cell>
          <cell r="AD61">
            <v>555.84640664898848</v>
          </cell>
        </row>
        <row r="62">
          <cell r="A62">
            <v>61</v>
          </cell>
          <cell r="M62">
            <v>19.740786450000002</v>
          </cell>
          <cell r="AC62">
            <v>19.740786450000002</v>
          </cell>
          <cell r="AD62">
            <v>560.6428497861034</v>
          </cell>
        </row>
        <row r="63">
          <cell r="A63">
            <v>62</v>
          </cell>
          <cell r="M63">
            <v>20.064405900000001</v>
          </cell>
          <cell r="AC63">
            <v>20.064405900000001</v>
          </cell>
          <cell r="AD63">
            <v>565.39679149422329</v>
          </cell>
        </row>
        <row r="64">
          <cell r="A64">
            <v>63</v>
          </cell>
          <cell r="M64">
            <v>20.388025349999999</v>
          </cell>
          <cell r="AC64">
            <v>20.388025349999999</v>
          </cell>
          <cell r="AD64">
            <v>570.11012040780633</v>
          </cell>
        </row>
        <row r="65">
          <cell r="A65">
            <v>64</v>
          </cell>
          <cell r="M65">
            <v>20.711644800000002</v>
          </cell>
          <cell r="N65">
            <v>618.37415119451612</v>
          </cell>
          <cell r="AC65">
            <v>20.711644800000002</v>
          </cell>
          <cell r="AD65">
            <v>574.78464123613048</v>
          </cell>
        </row>
        <row r="66">
          <cell r="A66">
            <v>65</v>
          </cell>
          <cell r="M66">
            <v>21.035264250000001</v>
          </cell>
          <cell r="N66">
            <v>623.95616151450145</v>
          </cell>
          <cell r="AC66">
            <v>21.035264250000001</v>
          </cell>
          <cell r="AD66">
            <v>579.42207849267322</v>
          </cell>
        </row>
        <row r="67">
          <cell r="A67">
            <v>66</v>
          </cell>
          <cell r="M67">
            <v>21.3588837</v>
          </cell>
          <cell r="N67">
            <v>629.5073863386757</v>
          </cell>
          <cell r="AC67">
            <v>21.3588837</v>
          </cell>
          <cell r="AD67">
            <v>584.0240800587685</v>
          </cell>
        </row>
        <row r="68">
          <cell r="A68">
            <v>67</v>
          </cell>
          <cell r="M68">
            <v>21.682503149999999</v>
          </cell>
          <cell r="N68">
            <v>635.02925728634079</v>
          </cell>
          <cell r="AC68">
            <v>21.682503149999999</v>
          </cell>
          <cell r="AD68">
            <v>588.59222058890816</v>
          </cell>
        </row>
        <row r="69">
          <cell r="A69">
            <v>68</v>
          </cell>
          <cell r="M69">
            <v>22.006122600000001</v>
          </cell>
          <cell r="N69">
            <v>640.52313940214265</v>
          </cell>
          <cell r="AC69">
            <v>22.006122600000001</v>
          </cell>
          <cell r="AD69">
            <v>593.12800476471796</v>
          </cell>
        </row>
        <row r="70">
          <cell r="A70">
            <v>69</v>
          </cell>
          <cell r="M70">
            <v>22.32974205</v>
          </cell>
          <cell r="N70">
            <v>645.99033425199309</v>
          </cell>
          <cell r="AC70">
            <v>22.32974205</v>
          </cell>
          <cell r="AD70">
            <v>597.63287040434227</v>
          </cell>
        </row>
        <row r="71">
          <cell r="A71">
            <v>70</v>
          </cell>
          <cell r="M71">
            <v>22.653361499999999</v>
          </cell>
          <cell r="N71">
            <v>651.43208287502591</v>
          </cell>
          <cell r="AC71">
            <v>22.653361499999999</v>
          </cell>
          <cell r="AD71">
            <v>602.10819143365211</v>
          </cell>
        </row>
        <row r="72">
          <cell r="A72">
            <v>71</v>
          </cell>
          <cell r="M72">
            <v>22.976980949999998</v>
          </cell>
          <cell r="N72">
            <v>656.84956859827639</v>
          </cell>
          <cell r="AC72">
            <v>22.976980949999998</v>
          </cell>
          <cell r="AD72">
            <v>606.5552807254245</v>
          </cell>
        </row>
        <row r="73">
          <cell r="A73">
            <v>72</v>
          </cell>
          <cell r="M73">
            <v>23.3006004</v>
          </cell>
          <cell r="N73">
            <v>662.24391972046874</v>
          </cell>
          <cell r="AC73">
            <v>23.3006004</v>
          </cell>
          <cell r="AD73">
            <v>610.97539281235663</v>
          </cell>
        </row>
        <row r="74">
          <cell r="A74">
            <v>73</v>
          </cell>
          <cell r="M74">
            <v>23.624219850000003</v>
          </cell>
          <cell r="N74">
            <v>667.61621207100086</v>
          </cell>
          <cell r="AC74">
            <v>23.624219850000003</v>
          </cell>
          <cell r="AD74">
            <v>615.36972647952132</v>
          </cell>
        </row>
        <row r="75">
          <cell r="A75">
            <v>74</v>
          </cell>
          <cell r="M75">
            <v>23.947839299999998</v>
          </cell>
          <cell r="N75">
            <v>672.96747144992798</v>
          </cell>
          <cell r="AC75">
            <v>23.947839299999998</v>
          </cell>
          <cell r="AD75">
            <v>619.73942724162293</v>
          </cell>
        </row>
        <row r="76">
          <cell r="A76">
            <v>75</v>
          </cell>
          <cell r="M76">
            <v>24.271458750000001</v>
          </cell>
          <cell r="N76">
            <v>678.2986759544782</v>
          </cell>
          <cell r="AC76">
            <v>24.271458750000001</v>
          </cell>
          <cell r="AD76">
            <v>624.08558971017044</v>
          </cell>
        </row>
        <row r="77">
          <cell r="A77">
            <v>76</v>
          </cell>
          <cell r="M77">
            <v>24.595078199999996</v>
          </cell>
          <cell r="N77">
            <v>683.61075819738085</v>
          </cell>
          <cell r="AC77">
            <v>24.595078199999996</v>
          </cell>
          <cell r="AD77">
            <v>628.40925985546062</v>
          </cell>
        </row>
        <row r="78">
          <cell r="A78">
            <v>77</v>
          </cell>
          <cell r="M78">
            <v>24.918697650000002</v>
          </cell>
          <cell r="N78">
            <v>688.90460742203243</v>
          </cell>
          <cell r="AC78">
            <v>24.918697650000002</v>
          </cell>
          <cell r="AD78">
            <v>632.7114371680467</v>
          </cell>
        </row>
        <row r="79">
          <cell r="A79">
            <v>78</v>
          </cell>
          <cell r="M79">
            <v>25.242317100000001</v>
          </cell>
          <cell r="N79">
            <v>694.18107151930474</v>
          </cell>
          <cell r="AC79">
            <v>25.242317100000001</v>
          </cell>
          <cell r="AD79">
            <v>636.99307672415557</v>
          </cell>
        </row>
        <row r="80">
          <cell r="A80">
            <v>79</v>
          </cell>
          <cell r="M80">
            <v>25.56593655</v>
          </cell>
          <cell r="N80">
            <v>699.44095895056159</v>
          </cell>
          <cell r="AC80">
            <v>25.56593655</v>
          </cell>
          <cell r="AD80">
            <v>641.25509115932709</v>
          </cell>
        </row>
        <row r="81">
          <cell r="A81">
            <v>80</v>
          </cell>
          <cell r="M81">
            <v>25.889555999999999</v>
          </cell>
          <cell r="N81">
            <v>704.68504058125109</v>
          </cell>
          <cell r="AC81">
            <v>25.889555999999999</v>
          </cell>
          <cell r="AD81">
            <v>645.49835255434868</v>
          </cell>
        </row>
        <row r="82">
          <cell r="A82">
            <v>81</v>
          </cell>
          <cell r="M82">
            <v>26.213175450000001</v>
          </cell>
          <cell r="N82">
            <v>709.91405142923088</v>
          </cell>
          <cell r="AC82">
            <v>26.213175450000001</v>
          </cell>
          <cell r="AD82">
            <v>649.7236942373853</v>
          </cell>
        </row>
        <row r="83">
          <cell r="A83">
            <v>82</v>
          </cell>
          <cell r="M83">
            <v>26.5367949</v>
          </cell>
          <cell r="N83">
            <v>715.12869233178992</v>
          </cell>
          <cell r="AC83">
            <v>26.5367949</v>
          </cell>
          <cell r="AD83">
            <v>653.93191250602877</v>
          </cell>
        </row>
        <row r="84">
          <cell r="A84">
            <v>83</v>
          </cell>
          <cell r="M84">
            <v>26.860414349999999</v>
          </cell>
          <cell r="N84">
            <v>720.32963153514959</v>
          </cell>
          <cell r="AC84">
            <v>26.860414349999999</v>
          </cell>
          <cell r="AD84">
            <v>658.12376827282264</v>
          </cell>
        </row>
        <row r="85">
          <cell r="A85">
            <v>84</v>
          </cell>
          <cell r="M85">
            <v>27.184033799999998</v>
          </cell>
          <cell r="N85">
            <v>725.51750621004635</v>
          </cell>
          <cell r="AC85">
            <v>27.184033799999998</v>
          </cell>
          <cell r="AD85">
            <v>662.299988637669</v>
          </cell>
        </row>
        <row r="86">
          <cell r="A86">
            <v>85</v>
          </cell>
          <cell r="M86">
            <v>27.507653250000001</v>
          </cell>
          <cell r="N86">
            <v>730.69292389683744</v>
          </cell>
          <cell r="AC86">
            <v>27.507653250000001</v>
          </cell>
          <cell r="AD86">
            <v>666.46126839035674</v>
          </cell>
        </row>
        <row r="87">
          <cell r="A87">
            <v>86</v>
          </cell>
          <cell r="M87">
            <v>27.8312727</v>
          </cell>
          <cell r="N87">
            <v>735.85646388340353</v>
          </cell>
          <cell r="AC87">
            <v>27.8312727</v>
          </cell>
          <cell r="AD87">
            <v>670.60827144632651</v>
          </cell>
        </row>
        <row r="88">
          <cell r="A88">
            <v>87</v>
          </cell>
          <cell r="M88">
            <v>28.154892149999998</v>
          </cell>
          <cell r="N88">
            <v>741.00867851897385</v>
          </cell>
          <cell r="AC88">
            <v>28.154892149999998</v>
          </cell>
          <cell r="AD88">
            <v>674.74163221863296</v>
          </cell>
        </row>
        <row r="89">
          <cell r="A89">
            <v>88</v>
          </cell>
          <cell r="M89">
            <v>28.478511599999997</v>
          </cell>
          <cell r="N89">
            <v>746.15009446685849</v>
          </cell>
          <cell r="AC89">
            <v>28.478511599999997</v>
          </cell>
          <cell r="AD89">
            <v>678.86195692893989</v>
          </cell>
        </row>
        <row r="90">
          <cell r="A90">
            <v>89</v>
          </cell>
          <cell r="M90">
            <v>28.80213105</v>
          </cell>
          <cell r="N90">
            <v>751.28121389891794</v>
          </cell>
          <cell r="AC90">
            <v>28.80213105</v>
          </cell>
          <cell r="AD90">
            <v>682.96982486026161</v>
          </cell>
        </row>
        <row r="91">
          <cell r="A91">
            <v>90</v>
          </cell>
          <cell r="M91">
            <v>29.125750500000002</v>
          </cell>
          <cell r="N91">
            <v>756.40251563449294</v>
          </cell>
          <cell r="AC91">
            <v>29.125750500000002</v>
          </cell>
          <cell r="AD91">
            <v>687.06578955403461</v>
          </cell>
        </row>
        <row r="92">
          <cell r="A92">
            <v>91</v>
          </cell>
          <cell r="M92">
            <v>29.449369949999998</v>
          </cell>
          <cell r="N92">
            <v>761.51445622636641</v>
          </cell>
          <cell r="AC92">
            <v>29.449369949999998</v>
          </cell>
          <cell r="AD92">
            <v>691.15037995399359</v>
          </cell>
        </row>
        <row r="93">
          <cell r="A93">
            <v>92</v>
          </cell>
          <cell r="M93">
            <v>29.7729894</v>
          </cell>
          <cell r="N93">
            <v>766.61747099622573</v>
          </cell>
          <cell r="AC93">
            <v>29.7729894</v>
          </cell>
          <cell r="AD93">
            <v>695.22410149922086</v>
          </cell>
        </row>
        <row r="94">
          <cell r="A94">
            <v>93</v>
          </cell>
          <cell r="M94">
            <v>30.096608850000003</v>
          </cell>
          <cell r="N94">
            <v>771.71197502197731</v>
          </cell>
          <cell r="AC94">
            <v>30.096608850000003</v>
          </cell>
          <cell r="AD94">
            <v>699.28743716861902</v>
          </cell>
        </row>
        <row r="95">
          <cell r="A95">
            <v>94</v>
          </cell>
          <cell r="M95">
            <v>30.420228300000002</v>
          </cell>
          <cell r="N95">
            <v>776.79836407913751</v>
          </cell>
          <cell r="AC95">
            <v>30.420228300000002</v>
          </cell>
          <cell r="AD95">
            <v>703.34084847897623</v>
          </cell>
        </row>
        <row r="96">
          <cell r="A96">
            <v>95</v>
          </cell>
          <cell r="M96">
            <v>30.74384775</v>
          </cell>
          <cell r="N96">
            <v>781.87701553845716</v>
          </cell>
          <cell r="AC96">
            <v>30.74384775</v>
          </cell>
          <cell r="AD96">
            <v>707.38477643867543</v>
          </cell>
        </row>
        <row r="97">
          <cell r="A97">
            <v>96</v>
          </cell>
          <cell r="M97">
            <v>31.067467199999999</v>
          </cell>
          <cell r="N97">
            <v>786.94828922179806</v>
          </cell>
          <cell r="AC97">
            <v>31.067467199999999</v>
          </cell>
          <cell r="AD97">
            <v>711.41964245902579</v>
          </cell>
        </row>
        <row r="98">
          <cell r="A98">
            <v>97</v>
          </cell>
          <cell r="M98">
            <v>31.391086650000002</v>
          </cell>
          <cell r="N98">
            <v>792.01252821821015</v>
          </cell>
          <cell r="AC98">
            <v>31.391086650000002</v>
          </cell>
          <cell r="AD98">
            <v>715.44584922509705</v>
          </cell>
        </row>
        <row r="99">
          <cell r="A99">
            <v>98</v>
          </cell>
          <cell r="M99">
            <v>31.714706100000001</v>
          </cell>
          <cell r="N99">
            <v>797.07005966205759</v>
          </cell>
          <cell r="AC99">
            <v>31.714706100000001</v>
          </cell>
          <cell r="AD99">
            <v>719.4637815278578</v>
          </cell>
        </row>
        <row r="100">
          <cell r="A100">
            <v>99</v>
          </cell>
          <cell r="M100">
            <v>32.038325549999996</v>
          </cell>
          <cell r="N100">
            <v>802.12119547496002</v>
          </cell>
          <cell r="AC100">
            <v>32.038325549999996</v>
          </cell>
          <cell r="AD100">
            <v>723.47380705933358</v>
          </cell>
        </row>
        <row r="101">
          <cell r="A101">
            <v>100</v>
          </cell>
          <cell r="M101">
            <v>32.361944999999999</v>
          </cell>
          <cell r="N101">
            <v>807.16623307323164</v>
          </cell>
          <cell r="AC101">
            <v>32.361944999999999</v>
          </cell>
          <cell r="AD101">
            <v>727.47627717243415</v>
          </cell>
        </row>
        <row r="102">
          <cell r="A102">
            <v>101</v>
          </cell>
          <cell r="M102">
            <v>32.685564450000001</v>
          </cell>
          <cell r="N102">
            <v>812.20545604242363</v>
          </cell>
          <cell r="AC102">
            <v>32.685564450000001</v>
          </cell>
          <cell r="AD102">
            <v>731.47152760701158</v>
          </cell>
        </row>
        <row r="103">
          <cell r="A103">
            <v>102</v>
          </cell>
          <cell r="M103">
            <v>33.009183900000004</v>
          </cell>
          <cell r="N103">
            <v>817.23913478049428</v>
          </cell>
          <cell r="AC103">
            <v>33.009183900000004</v>
          </cell>
          <cell r="AD103">
            <v>735.45987918365824</v>
          </cell>
        </row>
        <row r="104">
          <cell r="A104">
            <v>103</v>
          </cell>
          <cell r="M104">
            <v>33.332803349999999</v>
          </cell>
          <cell r="N104">
            <v>822.26752711107395</v>
          </cell>
          <cell r="AC104">
            <v>33.332803349999999</v>
          </cell>
          <cell r="AD104">
            <v>739.44163846667368</v>
          </cell>
        </row>
        <row r="105">
          <cell r="A105">
            <v>104</v>
          </cell>
          <cell r="M105">
            <v>33.656422800000001</v>
          </cell>
          <cell r="N105">
            <v>827.29087886820946</v>
          </cell>
          <cell r="AC105">
            <v>33.656422800000001</v>
          </cell>
          <cell r="AD105">
            <v>743.41709839757084</v>
          </cell>
        </row>
        <row r="106">
          <cell r="A106">
            <v>105</v>
          </cell>
          <cell r="M106">
            <v>33.980042250000004</v>
          </cell>
          <cell r="N106">
            <v>832.30942445391418</v>
          </cell>
          <cell r="AC106">
            <v>33.980042250000004</v>
          </cell>
          <cell r="AD106">
            <v>747.38653890043236</v>
          </cell>
        </row>
        <row r="107">
          <cell r="A107">
            <v>106</v>
          </cell>
          <cell r="M107">
            <v>34.303661699999999</v>
          </cell>
          <cell r="N107">
            <v>837.32338736979625</v>
          </cell>
          <cell r="AC107">
            <v>34.303661699999999</v>
          </cell>
          <cell r="AD107">
            <v>751.35022746036259</v>
          </cell>
        </row>
        <row r="108">
          <cell r="A108">
            <v>107</v>
          </cell>
          <cell r="M108">
            <v>34.627281150000002</v>
          </cell>
          <cell r="N108">
            <v>842.33298072395735</v>
          </cell>
          <cell r="AC108">
            <v>34.627281150000002</v>
          </cell>
          <cell r="AD108">
            <v>755.30841967624144</v>
          </cell>
        </row>
        <row r="109">
          <cell r="A109">
            <v>108</v>
          </cell>
          <cell r="M109">
            <v>34.950900599999997</v>
          </cell>
          <cell r="N109">
            <v>847.33840771432244</v>
          </cell>
          <cell r="AC109">
            <v>34.950900599999997</v>
          </cell>
          <cell r="AD109">
            <v>759.26135978890909</v>
          </cell>
        </row>
        <row r="110">
          <cell r="A110">
            <v>109</v>
          </cell>
          <cell r="M110">
            <v>35.27452005</v>
          </cell>
          <cell r="N110">
            <v>852.33986208949648</v>
          </cell>
          <cell r="AC110">
            <v>35.27452005</v>
          </cell>
          <cell r="AD110">
            <v>763.20928118588711</v>
          </cell>
        </row>
        <row r="111">
          <cell r="A111">
            <v>110</v>
          </cell>
          <cell r="M111">
            <v>35.598139500000002</v>
          </cell>
          <cell r="N111">
            <v>857.33752858818332</v>
          </cell>
          <cell r="AC111">
            <v>35.598139500000002</v>
          </cell>
          <cell r="AD111">
            <v>767.152406883661</v>
          </cell>
        </row>
        <row r="112">
          <cell r="A112">
            <v>111</v>
          </cell>
          <cell r="M112">
            <v>35.921758949999997</v>
          </cell>
          <cell r="N112">
            <v>862.33158335817336</v>
          </cell>
          <cell r="AC112">
            <v>35.921758949999997</v>
          </cell>
          <cell r="AD112">
            <v>771.09094998854346</v>
          </cell>
        </row>
        <row r="113">
          <cell r="A113">
            <v>112</v>
          </cell>
          <cell r="M113">
            <v>36.2453784</v>
          </cell>
          <cell r="N113">
            <v>867.32219435585</v>
          </cell>
          <cell r="AC113">
            <v>36.2453784</v>
          </cell>
          <cell r="AD113">
            <v>775.02511413704826</v>
          </cell>
        </row>
        <row r="114">
          <cell r="A114">
            <v>113</v>
          </cell>
          <cell r="M114">
            <v>36.568997849999995</v>
          </cell>
          <cell r="N114">
            <v>872.30952172711193</v>
          </cell>
          <cell r="AC114">
            <v>36.568997849999995</v>
          </cell>
          <cell r="AD114">
            <v>778.955093916701</v>
          </cell>
        </row>
        <row r="115">
          <cell r="A115">
            <v>114</v>
          </cell>
          <cell r="M115">
            <v>36.892617299999998</v>
          </cell>
          <cell r="N115">
            <v>877.29371817058734</v>
          </cell>
          <cell r="AC115">
            <v>36.892617299999998</v>
          </cell>
          <cell r="AD115">
            <v>782.88107526814917</v>
          </cell>
        </row>
        <row r="116">
          <cell r="A116">
            <v>115</v>
          </cell>
          <cell r="M116">
            <v>37.21623675</v>
          </cell>
          <cell r="N116">
            <v>882.2749292839527</v>
          </cell>
          <cell r="AC116">
            <v>37.21623675</v>
          </cell>
          <cell r="AD116">
            <v>786.80323586940074</v>
          </cell>
        </row>
        <row r="117">
          <cell r="A117">
            <v>116</v>
          </cell>
          <cell r="M117">
            <v>37.539856200000003</v>
          </cell>
          <cell r="N117">
            <v>887.25329389414821</v>
          </cell>
          <cell r="AC117">
            <v>37.539856200000003</v>
          </cell>
          <cell r="AD117">
            <v>790.72174550299508</v>
          </cell>
        </row>
        <row r="118">
          <cell r="A118">
            <v>117</v>
          </cell>
          <cell r="M118">
            <v>37.863475649999998</v>
          </cell>
          <cell r="N118">
            <v>892.22894437223965</v>
          </cell>
          <cell r="AC118">
            <v>37.863475649999998</v>
          </cell>
          <cell r="AD118">
            <v>794.6367664068481</v>
          </cell>
        </row>
        <row r="119">
          <cell r="A119">
            <v>118</v>
          </cell>
          <cell r="M119">
            <v>38.187095100000001</v>
          </cell>
          <cell r="N119">
            <v>897.20200693363506</v>
          </cell>
          <cell r="AC119">
            <v>38.187095100000001</v>
          </cell>
          <cell r="AD119">
            <v>798.54845360951788</v>
          </cell>
        </row>
        <row r="120">
          <cell r="A120">
            <v>119</v>
          </cell>
          <cell r="M120">
            <v>38.510714550000003</v>
          </cell>
          <cell r="N120">
            <v>902.17260192434071</v>
          </cell>
          <cell r="AC120">
            <v>38.510714550000003</v>
          </cell>
          <cell r="AD120">
            <v>802.4569552505626</v>
          </cell>
        </row>
        <row r="121">
          <cell r="A121">
            <v>120</v>
          </cell>
          <cell r="M121">
            <v>38.834333999999998</v>
          </cell>
          <cell r="N121">
            <v>907.14084409390887</v>
          </cell>
          <cell r="AC121">
            <v>38.834333999999998</v>
          </cell>
          <cell r="AD121">
            <v>806.36241288666849</v>
          </cell>
        </row>
        <row r="122">
          <cell r="A122">
            <v>121</v>
          </cell>
          <cell r="M122">
            <v>39.157953450000001</v>
          </cell>
          <cell r="N122">
            <v>912.10684285568652</v>
          </cell>
          <cell r="AC122">
            <v>39.157953450000001</v>
          </cell>
          <cell r="AD122">
            <v>810.2649617841729</v>
          </cell>
        </row>
        <row r="123">
          <cell r="A123">
            <v>122</v>
          </cell>
          <cell r="M123">
            <v>39.481572900000003</v>
          </cell>
          <cell r="N123">
            <v>917.07070253496806</v>
          </cell>
          <cell r="AC123">
            <v>39.481572900000003</v>
          </cell>
          <cell r="AD123">
            <v>814.16473119858699</v>
          </cell>
        </row>
        <row r="124">
          <cell r="A124">
            <v>123</v>
          </cell>
          <cell r="M124">
            <v>39.805192349999999</v>
          </cell>
          <cell r="N124">
            <v>922.03252260560237</v>
          </cell>
          <cell r="AC124">
            <v>39.805192349999999</v>
          </cell>
          <cell r="AD124">
            <v>818.06184464170121</v>
          </cell>
        </row>
        <row r="125">
          <cell r="A125">
            <v>124</v>
          </cell>
          <cell r="M125">
            <v>40.128811800000001</v>
          </cell>
          <cell r="N125">
            <v>926.99239791560296</v>
          </cell>
          <cell r="AC125">
            <v>40.128811800000001</v>
          </cell>
          <cell r="AD125">
            <v>821.95642013681493</v>
          </cell>
        </row>
        <row r="126">
          <cell r="A126">
            <v>125</v>
          </cell>
          <cell r="M126">
            <v>40.452431249999997</v>
          </cell>
          <cell r="N126">
            <v>931.95041890226219</v>
          </cell>
          <cell r="AC126">
            <v>40.452431249999997</v>
          </cell>
          <cell r="AD126">
            <v>825.84857046263153</v>
          </cell>
        </row>
        <row r="127">
          <cell r="A127">
            <v>126</v>
          </cell>
          <cell r="M127">
            <v>40.776050699999999</v>
          </cell>
          <cell r="N127">
            <v>936.90667179726108</v>
          </cell>
          <cell r="AC127">
            <v>40.776050699999999</v>
          </cell>
          <cell r="AD127">
            <v>829.73840338631123</v>
          </cell>
        </row>
        <row r="128">
          <cell r="A128">
            <v>127</v>
          </cell>
          <cell r="M128">
            <v>41.099670149999994</v>
          </cell>
          <cell r="N128">
            <v>941.86123882224695</v>
          </cell>
          <cell r="AC128">
            <v>41.099670149999994</v>
          </cell>
          <cell r="AD128">
            <v>833.62602188616859</v>
          </cell>
        </row>
        <row r="129">
          <cell r="A129">
            <v>128</v>
          </cell>
          <cell r="M129">
            <v>41.423289600000004</v>
          </cell>
          <cell r="N129">
            <v>946.81419837530837</v>
          </cell>
          <cell r="AC129">
            <v>41.423289600000004</v>
          </cell>
          <cell r="AD129">
            <v>837.51152436447512</v>
          </cell>
        </row>
        <row r="130">
          <cell r="A130">
            <v>129</v>
          </cell>
          <cell r="M130">
            <v>41.746909049999999</v>
          </cell>
          <cell r="N130">
            <v>951.7656252087844</v>
          </cell>
          <cell r="AC130">
            <v>41.746909049999999</v>
          </cell>
          <cell r="AD130">
            <v>841.39500485080373</v>
          </cell>
        </row>
        <row r="131">
          <cell r="A131">
            <v>130</v>
          </cell>
          <cell r="M131">
            <v>42.070528500000002</v>
          </cell>
          <cell r="N131">
            <v>956.71559059880485</v>
          </cell>
          <cell r="AC131">
            <v>42.070528500000002</v>
          </cell>
          <cell r="AD131">
            <v>845.27655319633743</v>
          </cell>
        </row>
        <row r="132">
          <cell r="A132">
            <v>131</v>
          </cell>
          <cell r="M132">
            <v>42.394147950000004</v>
          </cell>
          <cell r="N132">
            <v>961.66416250693908</v>
          </cell>
          <cell r="AC132">
            <v>42.394147950000004</v>
          </cell>
          <cell r="AD132">
            <v>849.15625525954817</v>
          </cell>
        </row>
        <row r="133">
          <cell r="A133">
            <v>132</v>
          </cell>
          <cell r="M133">
            <v>42.7177674</v>
          </cell>
          <cell r="N133">
            <v>966.61140573433966</v>
          </cell>
          <cell r="AC133">
            <v>42.7177674</v>
          </cell>
          <cell r="AD133">
            <v>853.03419308361538</v>
          </cell>
        </row>
        <row r="134">
          <cell r="A134">
            <v>133</v>
          </cell>
          <cell r="M134">
            <v>43.041386849999995</v>
          </cell>
          <cell r="N134">
            <v>971.55738206870535</v>
          </cell>
          <cell r="AC134">
            <v>43.041386849999995</v>
          </cell>
          <cell r="AD134">
            <v>856.91044506597098</v>
          </cell>
        </row>
        <row r="135">
          <cell r="A135">
            <v>134</v>
          </cell>
          <cell r="M135">
            <v>43.365006299999997</v>
          </cell>
          <cell r="N135">
            <v>976.50215042442017</v>
          </cell>
          <cell r="AC135">
            <v>43.365006299999997</v>
          </cell>
          <cell r="AD135">
            <v>860.78508612030157</v>
          </cell>
        </row>
        <row r="136">
          <cell r="A136">
            <v>135</v>
          </cell>
          <cell r="M136">
            <v>43.68862575</v>
          </cell>
          <cell r="N136">
            <v>981.44576697617174</v>
          </cell>
          <cell r="AC136">
            <v>43.68862575</v>
          </cell>
          <cell r="AD136">
            <v>864.65818783135671</v>
          </cell>
        </row>
        <row r="137">
          <cell r="A137">
            <v>136</v>
          </cell>
          <cell r="M137">
            <v>44.012245200000002</v>
          </cell>
          <cell r="N137">
            <v>986.38828528634974</v>
          </cell>
          <cell r="AC137">
            <v>44.012245200000002</v>
          </cell>
          <cell r="AD137">
            <v>868.52981860287889</v>
          </cell>
        </row>
        <row r="138">
          <cell r="A138">
            <v>137</v>
          </cell>
          <cell r="M138">
            <v>44.335864650000005</v>
          </cell>
          <cell r="N138">
            <v>991.32975642653298</v>
          </cell>
          <cell r="AC138">
            <v>44.335864650000005</v>
          </cell>
          <cell r="AD138">
            <v>872.40004379895311</v>
          </cell>
        </row>
        <row r="139">
          <cell r="A139">
            <v>138</v>
          </cell>
          <cell r="M139">
            <v>44.6594841</v>
          </cell>
          <cell r="N139">
            <v>996.27022909331401</v>
          </cell>
          <cell r="AC139">
            <v>44.6594841</v>
          </cell>
          <cell r="AD139">
            <v>876.26892587908685</v>
          </cell>
        </row>
        <row r="140">
          <cell r="A140">
            <v>139</v>
          </cell>
          <cell r="M140">
            <v>44.983103550000003</v>
          </cell>
          <cell r="N140">
            <v>1001.209749718747</v>
          </cell>
          <cell r="AC140">
            <v>44.983103550000003</v>
          </cell>
          <cell r="AD140">
            <v>880.13652452727263</v>
          </cell>
        </row>
        <row r="141">
          <cell r="A141">
            <v>140</v>
          </cell>
          <cell r="M141">
            <v>45.306722999999998</v>
          </cell>
          <cell r="N141">
            <v>1006.1483625756542</v>
          </cell>
          <cell r="AC141">
            <v>45.306722999999998</v>
          </cell>
          <cell r="AD141">
            <v>884.00289677532953</v>
          </cell>
        </row>
        <row r="142">
          <cell r="A142">
            <v>141</v>
          </cell>
          <cell r="M142">
            <v>45.630342450000001</v>
          </cell>
          <cell r="N142">
            <v>1011.0861098780357</v>
          </cell>
          <cell r="AC142">
            <v>45.630342450000001</v>
          </cell>
          <cell r="AD142">
            <v>887.86809712075649</v>
          </cell>
        </row>
        <row r="143">
          <cell r="A143">
            <v>142</v>
          </cell>
          <cell r="M143">
            <v>45.953961899999996</v>
          </cell>
          <cell r="N143">
            <v>1016.0230318768134</v>
          </cell>
          <cell r="AC143">
            <v>45.953961899999996</v>
          </cell>
          <cell r="AD143">
            <v>891.73217763934747</v>
          </cell>
        </row>
        <row r="144">
          <cell r="A144">
            <v>143</v>
          </cell>
          <cell r="M144">
            <v>46.277581349999998</v>
          </cell>
          <cell r="N144">
            <v>1020.959166951117</v>
          </cell>
          <cell r="AC144">
            <v>46.277581349999998</v>
          </cell>
          <cell r="AD144">
            <v>895.59518809280723</v>
          </cell>
        </row>
        <row r="145">
          <cell r="A145">
            <v>144</v>
          </cell>
          <cell r="M145">
            <v>46.601200800000001</v>
          </cell>
          <cell r="N145">
            <v>1025.8945516953318</v>
          </cell>
          <cell r="AC145">
            <v>46.601200800000001</v>
          </cell>
          <cell r="AD145">
            <v>899.45717603158153</v>
          </cell>
        </row>
        <row r="146">
          <cell r="A146">
            <v>145</v>
          </cell>
          <cell r="M146">
            <v>46.924820250000003</v>
          </cell>
          <cell r="N146">
            <v>1030.8292210020913</v>
          </cell>
          <cell r="AC146">
            <v>46.924820250000003</v>
          </cell>
          <cell r="AD146">
            <v>903.31818689311729</v>
          </cell>
        </row>
        <row r="147">
          <cell r="A147">
            <v>146</v>
          </cell>
          <cell r="M147">
            <v>47.248439700000006</v>
          </cell>
          <cell r="N147">
            <v>1035.7632081414163</v>
          </cell>
          <cell r="AC147">
            <v>47.248439700000006</v>
          </cell>
          <cell r="AD147">
            <v>907.17826409576139</v>
          </cell>
        </row>
        <row r="148">
          <cell r="A148">
            <v>147</v>
          </cell>
          <cell r="M148">
            <v>47.572059150000001</v>
          </cell>
          <cell r="N148">
            <v>1040.6965448361698</v>
          </cell>
          <cell r="AC148">
            <v>47.572059150000001</v>
          </cell>
          <cell r="AD148">
            <v>911.03744912847958</v>
          </cell>
        </row>
        <row r="149">
          <cell r="A149">
            <v>148</v>
          </cell>
          <cell r="M149">
            <v>47.895678599999997</v>
          </cell>
          <cell r="N149">
            <v>1045.6292613340042</v>
          </cell>
          <cell r="AC149">
            <v>47.895678599999997</v>
          </cell>
          <cell r="AD149">
            <v>914.89578163659473</v>
          </cell>
        </row>
        <row r="150">
          <cell r="A150">
            <v>149</v>
          </cell>
          <cell r="M150">
            <v>48.219298049999999</v>
          </cell>
          <cell r="N150">
            <v>1050.5613864759657</v>
          </cell>
          <cell r="AC150">
            <v>48.219298049999999</v>
          </cell>
          <cell r="AD150">
            <v>918.75329950371213</v>
          </cell>
        </row>
        <row r="151">
          <cell r="A151">
            <v>150</v>
          </cell>
          <cell r="M151">
            <v>48.542917500000001</v>
          </cell>
          <cell r="N151">
            <v>1055.4929477619025</v>
          </cell>
          <cell r="AC151">
            <v>48.542917500000001</v>
          </cell>
          <cell r="AD151">
            <v>922.61003893000327</v>
          </cell>
        </row>
        <row r="152">
          <cell r="A152">
            <v>151</v>
          </cell>
          <cell r="M152">
            <v>48.866536949999997</v>
          </cell>
          <cell r="N152">
            <v>1060.4239714128375</v>
          </cell>
          <cell r="AC152">
            <v>48.866536949999997</v>
          </cell>
          <cell r="AD152">
            <v>926.46603450701593</v>
          </cell>
        </row>
        <row r="153">
          <cell r="A153">
            <v>152</v>
          </cell>
          <cell r="M153">
            <v>49.190156399999992</v>
          </cell>
          <cell r="N153">
            <v>1065.3544824304358</v>
          </cell>
          <cell r="AC153">
            <v>49.190156399999992</v>
          </cell>
          <cell r="AD153">
            <v>930.32131928915226</v>
          </cell>
        </row>
        <row r="154">
          <cell r="A154">
            <v>153</v>
          </cell>
          <cell r="M154">
            <v>49.513775850000002</v>
          </cell>
          <cell r="N154">
            <v>1070.2845046537072</v>
          </cell>
          <cell r="AC154">
            <v>49.513775850000002</v>
          </cell>
          <cell r="AD154">
            <v>934.17592486197975</v>
          </cell>
        </row>
        <row r="155">
          <cell r="A155">
            <v>154</v>
          </cell>
          <cell r="M155">
            <v>49.837395300000004</v>
          </cell>
          <cell r="N155">
            <v>1075.2140608130771</v>
          </cell>
          <cell r="AC155">
            <v>49.837395300000004</v>
          </cell>
          <cell r="AD155">
            <v>938.0298814074971</v>
          </cell>
        </row>
        <row r="156">
          <cell r="A156">
            <v>155</v>
          </cell>
          <cell r="M156">
            <v>50.16101475</v>
          </cell>
          <cell r="N156">
            <v>1080.1431725819366</v>
          </cell>
          <cell r="AC156">
            <v>50.16101475</v>
          </cell>
          <cell r="AD156">
            <v>941.88321776650685</v>
          </cell>
        </row>
        <row r="157">
          <cell r="A157">
            <v>156</v>
          </cell>
          <cell r="M157">
            <v>50.484634200000002</v>
          </cell>
          <cell r="N157">
            <v>1085.0718606257969</v>
          </cell>
          <cell r="AC157">
            <v>50.484634200000002</v>
          </cell>
          <cell r="AD157">
            <v>945.73596149821572</v>
          </cell>
        </row>
        <row r="158">
          <cell r="A158">
            <v>157</v>
          </cell>
          <cell r="M158">
            <v>50.808253649999997</v>
          </cell>
          <cell r="N158">
            <v>1090.0001446491619</v>
          </cell>
          <cell r="AC158">
            <v>50.808253649999997</v>
          </cell>
          <cell r="AD158">
            <v>949.58813893718036</v>
          </cell>
        </row>
        <row r="159">
          <cell r="A159">
            <v>158</v>
          </cell>
          <cell r="M159">
            <v>51.1318731</v>
          </cell>
          <cell r="N159">
            <v>1094.9280434402135</v>
          </cell>
          <cell r="AC159">
            <v>51.1318731</v>
          </cell>
          <cell r="AD159">
            <v>953.43977524773197</v>
          </cell>
        </row>
        <row r="160">
          <cell r="A160">
            <v>159</v>
          </cell>
          <cell r="M160">
            <v>51.455492549999995</v>
          </cell>
          <cell r="N160">
            <v>1099.855574913428</v>
          </cell>
          <cell r="AC160">
            <v>51.455492549999995</v>
          </cell>
          <cell r="AD160">
            <v>957.290894475973</v>
          </cell>
        </row>
        <row r="161">
          <cell r="A161">
            <v>160</v>
          </cell>
          <cell r="M161">
            <v>51.779111999999998</v>
          </cell>
          <cell r="N161">
            <v>1104.782756150204</v>
          </cell>
          <cell r="AC161">
            <v>51.779111999999998</v>
          </cell>
          <cell r="AD161">
            <v>961.14151959947242</v>
          </cell>
        </row>
        <row r="162">
          <cell r="A162">
            <v>161</v>
          </cell>
          <cell r="M162">
            <v>52.102731450000007</v>
          </cell>
          <cell r="N162">
            <v>1109.7096034376013</v>
          </cell>
          <cell r="AC162">
            <v>52.102731450000007</v>
          </cell>
          <cell r="AD162">
            <v>964.99167257474403</v>
          </cell>
        </row>
        <row r="163">
          <cell r="A163">
            <v>162</v>
          </cell>
          <cell r="M163">
            <v>52.426350900000003</v>
          </cell>
          <cell r="N163">
            <v>1114.6361323052838</v>
          </cell>
          <cell r="AC163">
            <v>52.426350900000003</v>
          </cell>
          <cell r="AD163">
            <v>968.84137438262189</v>
          </cell>
        </row>
        <row r="164">
          <cell r="A164">
            <v>163</v>
          </cell>
          <cell r="M164">
            <v>52.749970349999998</v>
          </cell>
          <cell r="N164">
            <v>1119.5623575607374</v>
          </cell>
          <cell r="AC164">
            <v>52.749970349999998</v>
          </cell>
          <cell r="AD164">
            <v>972.69064507161477</v>
          </cell>
        </row>
        <row r="165">
          <cell r="A165">
            <v>164</v>
          </cell>
          <cell r="M165">
            <v>53.073589800000001</v>
          </cell>
          <cell r="N165">
            <v>1124.488293322856</v>
          </cell>
          <cell r="AC165">
            <v>53.073589800000001</v>
          </cell>
          <cell r="AD165">
            <v>976.53950379933769</v>
          </cell>
        </row>
        <row r="166">
          <cell r="A166">
            <v>165</v>
          </cell>
          <cell r="M166">
            <v>53.397209250000003</v>
          </cell>
          <cell r="N166">
            <v>1129.4139530539601</v>
          </cell>
          <cell r="AC166">
            <v>53.397209250000003</v>
          </cell>
          <cell r="AD166">
            <v>980.38796887209685</v>
          </cell>
        </row>
        <row r="167">
          <cell r="A167">
            <v>166</v>
          </cell>
          <cell r="M167">
            <v>53.720828699999998</v>
          </cell>
          <cell r="N167">
            <v>1134.3393495903329</v>
          </cell>
          <cell r="AC167">
            <v>53.720828699999998</v>
          </cell>
          <cell r="AD167">
            <v>984.23605778272588</v>
          </cell>
        </row>
        <row r="168">
          <cell r="A168">
            <v>167</v>
          </cell>
          <cell r="M168">
            <v>54.044448149999994</v>
          </cell>
          <cell r="N168">
            <v>1139.2644951713314</v>
          </cell>
          <cell r="AC168">
            <v>54.044448149999994</v>
          </cell>
          <cell r="AD168">
            <v>988.08378724672605</v>
          </cell>
        </row>
        <row r="169">
          <cell r="A169">
            <v>168</v>
          </cell>
          <cell r="M169">
            <v>54.368067599999996</v>
          </cell>
          <cell r="N169">
            <v>1144.1894014671443</v>
          </cell>
          <cell r="AC169">
            <v>54.368067599999996</v>
          </cell>
          <cell r="AD169">
            <v>991.9311732368152</v>
          </cell>
        </row>
        <row r="170">
          <cell r="A170">
            <v>169</v>
          </cell>
          <cell r="M170">
            <v>54.691687050000006</v>
          </cell>
          <cell r="N170">
            <v>1149.1140796052614</v>
          </cell>
          <cell r="AC170">
            <v>54.691687050000006</v>
          </cell>
          <cell r="AD170">
            <v>995.7782310159306</v>
          </cell>
        </row>
        <row r="171">
          <cell r="A171">
            <v>170</v>
          </cell>
          <cell r="M171">
            <v>55.015306500000001</v>
          </cell>
          <cell r="N171">
            <v>1154.0385401957105</v>
          </cell>
          <cell r="AC171">
            <v>55.015306500000001</v>
          </cell>
          <cell r="AD171">
            <v>999.62497516877067</v>
          </cell>
        </row>
        <row r="172">
          <cell r="A172">
            <v>171</v>
          </cell>
          <cell r="M172">
            <v>55.338925950000004</v>
          </cell>
          <cell r="N172">
            <v>1158.9627933551201</v>
          </cell>
          <cell r="AC172">
            <v>55.338925950000004</v>
          </cell>
          <cell r="AD172">
            <v>1003.471419631937</v>
          </cell>
        </row>
        <row r="173">
          <cell r="A173">
            <v>172</v>
          </cell>
          <cell r="M173">
            <v>55.662545399999999</v>
          </cell>
          <cell r="N173">
            <v>1163.8868487296663</v>
          </cell>
          <cell r="AC173">
            <v>55.662545399999999</v>
          </cell>
          <cell r="AD173">
            <v>1007.3175777227258</v>
          </cell>
        </row>
        <row r="174">
          <cell r="A174">
            <v>173</v>
          </cell>
          <cell r="M174">
            <v>55.986164850000002</v>
          </cell>
          <cell r="N174">
            <v>1168.8107155169459</v>
          </cell>
          <cell r="AC174">
            <v>55.986164850000002</v>
          </cell>
          <cell r="AD174">
            <v>1011.1634621666586</v>
          </cell>
        </row>
        <row r="175">
          <cell r="A175">
            <v>174</v>
          </cell>
          <cell r="M175">
            <v>56.309784299999997</v>
          </cell>
          <cell r="N175">
            <v>1173.7344024868416</v>
          </cell>
          <cell r="AC175">
            <v>56.309784299999997</v>
          </cell>
          <cell r="AD175">
            <v>1015.0090851237698</v>
          </cell>
        </row>
        <row r="176">
          <cell r="A176">
            <v>175</v>
          </cell>
          <cell r="M176">
            <v>56.633403749999999</v>
          </cell>
          <cell r="N176">
            <v>1178.657918001411</v>
          </cell>
          <cell r="AC176">
            <v>56.633403749999999</v>
          </cell>
          <cell r="AD176">
            <v>1018.8544582137393</v>
          </cell>
        </row>
        <row r="177">
          <cell r="A177">
            <v>176</v>
          </cell>
          <cell r="M177">
            <v>56.957023199999995</v>
          </cell>
          <cell r="N177">
            <v>1183.581270033847</v>
          </cell>
          <cell r="AC177">
            <v>56.957023199999995</v>
          </cell>
          <cell r="AD177">
            <v>1022.6995925399048</v>
          </cell>
        </row>
        <row r="178">
          <cell r="A178">
            <v>177</v>
          </cell>
          <cell r="M178">
            <v>57.280642650000004</v>
          </cell>
          <cell r="N178">
            <v>1188.5044661865677</v>
          </cell>
          <cell r="AC178">
            <v>57.280642650000004</v>
          </cell>
          <cell r="AD178">
            <v>1026.5444987122046</v>
          </cell>
        </row>
        <row r="179">
          <cell r="A179">
            <v>178</v>
          </cell>
          <cell r="M179">
            <v>57.6042621</v>
          </cell>
          <cell r="N179">
            <v>1193.4275137084533</v>
          </cell>
          <cell r="AC179">
            <v>57.6042621</v>
          </cell>
          <cell r="AD179">
            <v>1030.3891868691039</v>
          </cell>
        </row>
        <row r="180">
          <cell r="A180">
            <v>179</v>
          </cell>
          <cell r="M180">
            <v>57.927881550000002</v>
          </cell>
          <cell r="N180">
            <v>1198.3504195112914</v>
          </cell>
          <cell r="AC180">
            <v>57.927881550000002</v>
          </cell>
          <cell r="AD180">
            <v>1034.2336666985457</v>
          </cell>
        </row>
        <row r="181">
          <cell r="A181">
            <v>180</v>
          </cell>
          <cell r="M181">
            <v>58.251501000000005</v>
          </cell>
          <cell r="N181">
            <v>1203.273190185449</v>
          </cell>
          <cell r="AC181">
            <v>58.251501000000005</v>
          </cell>
          <cell r="AD181">
            <v>1038.0779474579681</v>
          </cell>
        </row>
        <row r="182">
          <cell r="A182">
            <v>181</v>
          </cell>
          <cell r="M182">
            <v>58.57512045</v>
          </cell>
          <cell r="N182">
            <v>1208.195832014821</v>
          </cell>
          <cell r="AC182">
            <v>58.57512045</v>
          </cell>
          <cell r="AD182">
            <v>1041.9220379934404</v>
          </cell>
        </row>
        <row r="183">
          <cell r="A183">
            <v>182</v>
          </cell>
          <cell r="M183">
            <v>58.898739899999995</v>
          </cell>
          <cell r="N183">
            <v>1213.1183509910825</v>
          </cell>
          <cell r="AC183">
            <v>58.898739899999995</v>
          </cell>
          <cell r="AD183">
            <v>1045.7659467579347</v>
          </cell>
        </row>
        <row r="184">
          <cell r="A184">
            <v>183</v>
          </cell>
          <cell r="M184">
            <v>59.222359349999998</v>
          </cell>
          <cell r="N184">
            <v>1218.0407528272772</v>
          </cell>
          <cell r="AC184">
            <v>59.222359349999998</v>
          </cell>
          <cell r="AD184">
            <v>1049.6096818288042</v>
          </cell>
        </row>
        <row r="185">
          <cell r="A185">
            <v>184</v>
          </cell>
          <cell r="M185">
            <v>59.5459788</v>
          </cell>
          <cell r="N185">
            <v>1222.9630429707736</v>
          </cell>
          <cell r="AC185">
            <v>59.5459788</v>
          </cell>
          <cell r="AD185">
            <v>1053.453250924465</v>
          </cell>
        </row>
        <row r="186">
          <cell r="A186">
            <v>185</v>
          </cell>
          <cell r="M186">
            <v>59.869598249999996</v>
          </cell>
          <cell r="N186">
            <v>1227.885226615625</v>
          </cell>
          <cell r="AC186">
            <v>59.869598249999996</v>
          </cell>
          <cell r="AD186">
            <v>1057.296661420351</v>
          </cell>
        </row>
        <row r="187">
          <cell r="A187">
            <v>186</v>
          </cell>
          <cell r="M187">
            <v>60.193217700000005</v>
          </cell>
          <cell r="N187">
            <v>1232.8073087143407</v>
          </cell>
          <cell r="AC187">
            <v>60.193217700000005</v>
          </cell>
          <cell r="AD187">
            <v>1061.1399203641545</v>
          </cell>
        </row>
        <row r="188">
          <cell r="A188">
            <v>187</v>
          </cell>
          <cell r="M188">
            <v>60.516837150000001</v>
          </cell>
          <cell r="N188">
            <v>1237.7292939891263</v>
          </cell>
          <cell r="AC188">
            <v>60.516837150000001</v>
          </cell>
          <cell r="AD188">
            <v>1064.9830344903908</v>
          </cell>
        </row>
        <row r="189">
          <cell r="A189">
            <v>188</v>
          </cell>
          <cell r="M189">
            <v>60.840456600000003</v>
          </cell>
          <cell r="N189">
            <v>1242.6511869425885</v>
          </cell>
          <cell r="AC189">
            <v>60.840456600000003</v>
          </cell>
          <cell r="AD189">
            <v>1068.8260102343129</v>
          </cell>
        </row>
        <row r="190">
          <cell r="A190">
            <v>189</v>
          </cell>
          <cell r="M190">
            <v>61.164076049999998</v>
          </cell>
          <cell r="N190">
            <v>1247.5729918679503</v>
          </cell>
          <cell r="AC190">
            <v>61.164076049999998</v>
          </cell>
          <cell r="AD190">
            <v>1072.6688537452096</v>
          </cell>
        </row>
        <row r="191">
          <cell r="A191">
            <v>190</v>
          </cell>
          <cell r="M191">
            <v>61.487695500000001</v>
          </cell>
          <cell r="N191">
            <v>1252.4947128587864</v>
          </cell>
          <cell r="AC191">
            <v>61.487695500000001</v>
          </cell>
          <cell r="AD191">
            <v>1076.5115708991161</v>
          </cell>
        </row>
        <row r="192">
          <cell r="A192">
            <v>191</v>
          </cell>
          <cell r="M192">
            <v>61.811314949999996</v>
          </cell>
          <cell r="N192">
            <v>1257.4163538183084</v>
          </cell>
          <cell r="AC192">
            <v>61.811314949999996</v>
          </cell>
          <cell r="AD192">
            <v>1080.3541673109535</v>
          </cell>
        </row>
        <row r="193">
          <cell r="A193">
            <v>192</v>
          </cell>
          <cell r="M193">
            <v>62.134934399999999</v>
          </cell>
          <cell r="N193">
            <v>1262.3379184682149</v>
          </cell>
          <cell r="AC193">
            <v>62.134934399999999</v>
          </cell>
          <cell r="AD193">
            <v>1084.196648346132</v>
          </cell>
        </row>
        <row r="194">
          <cell r="A194">
            <v>193</v>
          </cell>
          <cell r="M194">
            <v>62.458553849999994</v>
          </cell>
          <cell r="N194">
            <v>1267.2594103571369</v>
          </cell>
          <cell r="AC194">
            <v>62.458553849999994</v>
          </cell>
          <cell r="AD194">
            <v>1088.0390191316392</v>
          </cell>
        </row>
        <row r="195">
          <cell r="A195">
            <v>194</v>
          </cell>
          <cell r="M195">
            <v>62.782173300000004</v>
          </cell>
          <cell r="N195">
            <v>1272.1808328686807</v>
          </cell>
          <cell r="AC195">
            <v>62.782173300000004</v>
          </cell>
          <cell r="AD195">
            <v>1091.881284566638</v>
          </cell>
        </row>
        <row r="196">
          <cell r="A196">
            <v>195</v>
          </cell>
          <cell r="M196">
            <v>63.105792750000006</v>
          </cell>
          <cell r="N196">
            <v>1277.1021892291055</v>
          </cell>
          <cell r="AC196">
            <v>63.105792750000006</v>
          </cell>
          <cell r="AD196">
            <v>1095.7234493325832</v>
          </cell>
        </row>
        <row r="197">
          <cell r="A197">
            <v>196</v>
          </cell>
          <cell r="M197">
            <v>63.429412200000002</v>
          </cell>
          <cell r="N197">
            <v>1282.0234825146404</v>
          </cell>
          <cell r="AC197">
            <v>63.429412200000002</v>
          </cell>
          <cell r="AD197">
            <v>1099.5655179029036</v>
          </cell>
        </row>
        <row r="198">
          <cell r="A198">
            <v>197</v>
          </cell>
          <cell r="M198">
            <v>63.753031649999997</v>
          </cell>
          <cell r="N198">
            <v>1286.9447156584592</v>
          </cell>
          <cell r="AC198">
            <v>63.753031649999997</v>
          </cell>
          <cell r="AD198">
            <v>1103.4074945522384</v>
          </cell>
        </row>
        <row r="199">
          <cell r="A199">
            <v>198</v>
          </cell>
          <cell r="M199">
            <v>64.076651099999992</v>
          </cell>
          <cell r="N199">
            <v>1291.8658914573366</v>
          </cell>
          <cell r="AC199">
            <v>64.076651099999992</v>
          </cell>
          <cell r="AD199">
            <v>1107.2493833652793</v>
          </cell>
        </row>
        <row r="200">
          <cell r="A200">
            <v>199</v>
          </cell>
          <cell r="M200">
            <v>64.400270550000002</v>
          </cell>
          <cell r="N200">
            <v>1296.7870125779841</v>
          </cell>
          <cell r="AC200">
            <v>64.400270550000002</v>
          </cell>
          <cell r="AD200">
            <v>1111.0911882452033</v>
          </cell>
        </row>
        <row r="201">
          <cell r="A201">
            <v>200</v>
          </cell>
          <cell r="M201">
            <v>64.723889999999997</v>
          </cell>
          <cell r="N201">
            <v>1301.7080815631093</v>
          </cell>
          <cell r="AC201">
            <v>64.723889999999997</v>
          </cell>
          <cell r="AD201">
            <v>1114.9329129217431</v>
          </cell>
        </row>
        <row r="202">
          <cell r="A202">
            <v>201</v>
          </cell>
          <cell r="M202">
            <v>65.047509449999993</v>
          </cell>
          <cell r="N202">
            <v>1306.62910083717</v>
          </cell>
          <cell r="AC202">
            <v>65.047509449999993</v>
          </cell>
          <cell r="AD202">
            <v>1118.7745609588947</v>
          </cell>
        </row>
        <row r="203">
          <cell r="A203">
            <v>202</v>
          </cell>
          <cell r="M203">
            <v>65.371128900000002</v>
          </cell>
          <cell r="N203">
            <v>1311.5500727118829</v>
          </cell>
          <cell r="AC203">
            <v>65.371128900000002</v>
          </cell>
          <cell r="AD203">
            <v>1122.6161357622791</v>
          </cell>
        </row>
        <row r="204">
          <cell r="A204">
            <v>203</v>
          </cell>
          <cell r="M204">
            <v>65.694748349999998</v>
          </cell>
          <cell r="N204">
            <v>1316.470999391463</v>
          </cell>
          <cell r="AC204">
            <v>65.694748349999998</v>
          </cell>
          <cell r="AD204">
            <v>1126.4576405861822</v>
          </cell>
        </row>
        <row r="205">
          <cell r="A205">
            <v>204</v>
          </cell>
          <cell r="M205">
            <v>66.018367800000007</v>
          </cell>
          <cell r="N205">
            <v>1321.3918829776189</v>
          </cell>
          <cell r="AC205">
            <v>66.018367800000007</v>
          </cell>
          <cell r="AD205">
            <v>1130.2990785402808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756E-3AA5-4DBF-9BA8-9F5E08726DD2}">
  <dimension ref="A1:AE205"/>
  <sheetViews>
    <sheetView tabSelected="1" workbookViewId="0">
      <selection activeCell="I5" sqref="I5"/>
    </sheetView>
  </sheetViews>
  <sheetFormatPr defaultRowHeight="14.4" x14ac:dyDescent="0.3"/>
  <cols>
    <col min="14" max="14" width="9.21875" customWidth="1"/>
    <col min="17" max="17" width="8.88671875" style="1"/>
    <col min="29" max="29" width="8.88671875" style="1"/>
    <col min="30" max="30" width="9.218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1</v>
      </c>
      <c r="K1" t="s">
        <v>8</v>
      </c>
      <c r="L1" t="s">
        <v>9</v>
      </c>
      <c r="M1" t="s">
        <v>10</v>
      </c>
      <c r="N1" t="s">
        <v>11</v>
      </c>
      <c r="Q1" s="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W1" t="s">
        <v>6</v>
      </c>
      <c r="Y1" t="s">
        <v>7</v>
      </c>
      <c r="Z1" t="s">
        <v>1</v>
      </c>
      <c r="AA1" t="s">
        <v>8</v>
      </c>
      <c r="AB1" t="s">
        <v>9</v>
      </c>
      <c r="AC1" s="1" t="s">
        <v>10</v>
      </c>
      <c r="AD1" t="s">
        <v>11</v>
      </c>
      <c r="AE1" t="s">
        <v>0</v>
      </c>
    </row>
    <row r="2" spans="1:31" x14ac:dyDescent="0.3">
      <c r="A2">
        <v>1</v>
      </c>
      <c r="B2">
        <f>A2*1000</f>
        <v>1000</v>
      </c>
      <c r="C2">
        <v>290</v>
      </c>
      <c r="D2">
        <v>2.5</v>
      </c>
      <c r="E2">
        <v>1.7</v>
      </c>
      <c r="F2">
        <v>48</v>
      </c>
      <c r="G2">
        <v>21</v>
      </c>
      <c r="I2" s="2">
        <f>C2+(F2/D2)*A2+(E2*G2^2/D2)*(1-A2/G2-EXP(-A2/G2))</f>
        <v>308.86533318453695</v>
      </c>
      <c r="J2">
        <f>B2</f>
        <v>1000</v>
      </c>
      <c r="K2">
        <f>IF(J2&lt;36,2830,3300)</f>
        <v>3300</v>
      </c>
      <c r="L2" s="3">
        <f>9.80665*K2*J2/1000000000</f>
        <v>3.2361945000000003E-2</v>
      </c>
      <c r="M2" s="3">
        <f>L2*10</f>
        <v>0.32361945000000003</v>
      </c>
      <c r="N2" s="2">
        <f>I2-272.15</f>
        <v>36.715333184536973</v>
      </c>
      <c r="Q2" s="1">
        <v>1</v>
      </c>
      <c r="R2">
        <f>Q2*1000</f>
        <v>1000</v>
      </c>
      <c r="S2">
        <v>290</v>
      </c>
      <c r="T2">
        <v>2.5</v>
      </c>
      <c r="U2">
        <v>1.7</v>
      </c>
      <c r="V2">
        <v>47</v>
      </c>
      <c r="W2">
        <v>22</v>
      </c>
      <c r="Y2" s="2">
        <f>S2+(V2/T2)*Q2+(U2*W2^2/T2)*(1-Q2/W2-EXP(-Q2/W2))</f>
        <v>308.46509350338232</v>
      </c>
      <c r="Z2">
        <f>R2</f>
        <v>1000</v>
      </c>
      <c r="AA2">
        <f>IF(Z2&lt;36,2830,3300)</f>
        <v>3300</v>
      </c>
      <c r="AB2" s="3">
        <f>9.80665*AA2*Z2/1000000000</f>
        <v>3.2361945000000003E-2</v>
      </c>
      <c r="AC2" s="4">
        <f>AB2*10</f>
        <v>0.32361945000000003</v>
      </c>
      <c r="AD2" s="2">
        <f>Y2-272.15</f>
        <v>36.315093503382343</v>
      </c>
      <c r="AE2" s="3">
        <f>R2/1000</f>
        <v>1</v>
      </c>
    </row>
    <row r="3" spans="1:31" x14ac:dyDescent="0.3">
      <c r="A3">
        <f>A2+1</f>
        <v>2</v>
      </c>
      <c r="B3">
        <f>A3*1000</f>
        <v>2000</v>
      </c>
      <c r="C3">
        <f>C2</f>
        <v>290</v>
      </c>
      <c r="D3">
        <f>D2</f>
        <v>2.5</v>
      </c>
      <c r="E3">
        <f>E2</f>
        <v>1.7</v>
      </c>
      <c r="F3">
        <f>F2</f>
        <v>48</v>
      </c>
      <c r="G3">
        <f>G2</f>
        <v>21</v>
      </c>
      <c r="I3" s="2">
        <f>C3+(F3/D3)*A3+(E3*G3^2/D3)*(1-A3/G3-EXP(-A3/G3))</f>
        <v>327.08216591013127</v>
      </c>
      <c r="J3">
        <f t="shared" ref="J3:J66" si="0">B3</f>
        <v>2000</v>
      </c>
      <c r="K3">
        <f t="shared" ref="K3:K66" si="1">IF(J3&lt;36,2830,3300)</f>
        <v>3300</v>
      </c>
      <c r="L3" s="3">
        <f t="shared" ref="L3:L66" si="2">9.80665*K3*J3/1000000000</f>
        <v>6.4723890000000006E-2</v>
      </c>
      <c r="M3" s="3">
        <f t="shared" ref="M3:M66" si="3">L3*10</f>
        <v>0.64723890000000006</v>
      </c>
      <c r="N3" s="2">
        <f t="shared" ref="N3:N66" si="4">I3-272.15</f>
        <v>54.932165910131289</v>
      </c>
      <c r="Q3" s="1">
        <f>Q2+1</f>
        <v>2</v>
      </c>
      <c r="R3">
        <f>Q3*1000</f>
        <v>2000</v>
      </c>
      <c r="S3">
        <f>S2</f>
        <v>290</v>
      </c>
      <c r="T3">
        <f>T2</f>
        <v>2.5</v>
      </c>
      <c r="U3">
        <f>U2</f>
        <v>1.7</v>
      </c>
      <c r="V3">
        <f>V2</f>
        <v>47</v>
      </c>
      <c r="W3">
        <f>W2</f>
        <v>22</v>
      </c>
      <c r="Y3" s="2">
        <f>S3+(V3/T3)*Q3+(U3*W3^2/T3)*(1-Q3/W3-EXP(-Q3/W3))</f>
        <v>326.28029225718183</v>
      </c>
      <c r="Z3">
        <f t="shared" ref="Z3:Z66" si="5">R3</f>
        <v>2000</v>
      </c>
      <c r="AA3">
        <f t="shared" ref="AA3:AA66" si="6">IF(Z3&lt;36,2830,3300)</f>
        <v>3300</v>
      </c>
      <c r="AB3" s="3">
        <f t="shared" ref="AB3:AB66" si="7">9.80665*AA3*Z3/1000000000</f>
        <v>6.4723890000000006E-2</v>
      </c>
      <c r="AC3" s="4">
        <f t="shared" ref="AC3:AC66" si="8">AB3*10</f>
        <v>0.64723890000000006</v>
      </c>
      <c r="AD3" s="2">
        <f t="shared" ref="AD3:AD66" si="9">Y3-272.15</f>
        <v>54.13029225718185</v>
      </c>
      <c r="AE3" s="3">
        <f t="shared" ref="AE3:AE66" si="10">R3/1000</f>
        <v>2</v>
      </c>
    </row>
    <row r="4" spans="1:31" x14ac:dyDescent="0.3">
      <c r="A4">
        <f t="shared" ref="A4:A51" si="11">A3+1</f>
        <v>3</v>
      </c>
      <c r="B4">
        <f t="shared" ref="B4:B67" si="12">A4*1000</f>
        <v>3000</v>
      </c>
      <c r="C4">
        <f t="shared" ref="C4:G19" si="13">C3</f>
        <v>290</v>
      </c>
      <c r="D4">
        <f t="shared" si="13"/>
        <v>2.5</v>
      </c>
      <c r="E4">
        <f t="shared" si="13"/>
        <v>1.7</v>
      </c>
      <c r="F4">
        <f t="shared" si="13"/>
        <v>48</v>
      </c>
      <c r="G4">
        <f t="shared" si="13"/>
        <v>21</v>
      </c>
      <c r="I4" s="2">
        <f t="shared" ref="I4:I51" si="14">C4+(F4/D4)*A4+(E4*G4^2/D4)*(1-A4/G4-EXP(-A4/G4))</f>
        <v>344.68065542291561</v>
      </c>
      <c r="J4">
        <f t="shared" si="0"/>
        <v>3000</v>
      </c>
      <c r="K4">
        <f t="shared" si="1"/>
        <v>3300</v>
      </c>
      <c r="L4" s="3">
        <f t="shared" si="2"/>
        <v>9.7085834999999995E-2</v>
      </c>
      <c r="M4" s="3">
        <f t="shared" si="3"/>
        <v>0.97085834999999998</v>
      </c>
      <c r="N4" s="2">
        <f t="shared" si="4"/>
        <v>72.530655422915629</v>
      </c>
      <c r="Q4" s="1">
        <f t="shared" ref="Q4:Q51" si="15">Q3+1</f>
        <v>3</v>
      </c>
      <c r="R4">
        <f t="shared" ref="R4:R51" si="16">Q4*1000</f>
        <v>3000</v>
      </c>
      <c r="S4">
        <f t="shared" ref="S4:W19" si="17">S3</f>
        <v>290</v>
      </c>
      <c r="T4">
        <f t="shared" si="17"/>
        <v>2.5</v>
      </c>
      <c r="U4">
        <f t="shared" si="17"/>
        <v>1.7</v>
      </c>
      <c r="V4">
        <f t="shared" si="17"/>
        <v>47</v>
      </c>
      <c r="W4">
        <f t="shared" si="17"/>
        <v>22</v>
      </c>
      <c r="Y4" s="2">
        <f t="shared" ref="Y4:Y51" si="18">S4+(V4/T4)*Q4+(U4*W4^2/T4)*(1-Q4/W4-EXP(-Q4/W4))</f>
        <v>343.4744756108152</v>
      </c>
      <c r="Z4">
        <f t="shared" si="5"/>
        <v>3000</v>
      </c>
      <c r="AA4">
        <f t="shared" si="6"/>
        <v>3300</v>
      </c>
      <c r="AB4" s="3">
        <f t="shared" si="7"/>
        <v>9.7085834999999995E-2</v>
      </c>
      <c r="AC4" s="4">
        <f t="shared" si="8"/>
        <v>0.97085834999999998</v>
      </c>
      <c r="AD4" s="2">
        <f t="shared" si="9"/>
        <v>71.324475610815227</v>
      </c>
      <c r="AE4" s="3">
        <f t="shared" si="10"/>
        <v>3</v>
      </c>
    </row>
    <row r="5" spans="1:31" x14ac:dyDescent="0.3">
      <c r="A5">
        <f t="shared" si="11"/>
        <v>4</v>
      </c>
      <c r="B5">
        <f t="shared" si="12"/>
        <v>4000</v>
      </c>
      <c r="C5">
        <f t="shared" si="13"/>
        <v>290</v>
      </c>
      <c r="D5">
        <f t="shared" si="13"/>
        <v>2.5</v>
      </c>
      <c r="E5">
        <f t="shared" si="13"/>
        <v>1.7</v>
      </c>
      <c r="F5">
        <f t="shared" si="13"/>
        <v>48</v>
      </c>
      <c r="G5">
        <f t="shared" si="13"/>
        <v>21</v>
      </c>
      <c r="I5" s="2">
        <f t="shared" si="14"/>
        <v>361.68955656524349</v>
      </c>
      <c r="J5">
        <f t="shared" si="0"/>
        <v>4000</v>
      </c>
      <c r="K5">
        <f t="shared" si="1"/>
        <v>3300</v>
      </c>
      <c r="L5" s="3">
        <f t="shared" si="2"/>
        <v>0.12944778000000001</v>
      </c>
      <c r="M5" s="3">
        <f t="shared" si="3"/>
        <v>1.2944778000000001</v>
      </c>
      <c r="N5" s="2">
        <f t="shared" si="4"/>
        <v>89.539556565243515</v>
      </c>
      <c r="Q5" s="1">
        <f t="shared" si="15"/>
        <v>4</v>
      </c>
      <c r="R5">
        <f t="shared" si="16"/>
        <v>4000</v>
      </c>
      <c r="S5">
        <f t="shared" si="17"/>
        <v>290</v>
      </c>
      <c r="T5">
        <f t="shared" si="17"/>
        <v>2.5</v>
      </c>
      <c r="U5">
        <f t="shared" si="17"/>
        <v>1.7</v>
      </c>
      <c r="V5">
        <f t="shared" si="17"/>
        <v>47</v>
      </c>
      <c r="W5">
        <f t="shared" si="17"/>
        <v>22</v>
      </c>
      <c r="Y5" s="2">
        <f>S5+(V5/T5)*Q5+(U5*W5^2/T5)*(1-Q5/W5-EXP(-Q5/W5))</f>
        <v>360.07523960309652</v>
      </c>
      <c r="Z5">
        <f t="shared" si="5"/>
        <v>4000</v>
      </c>
      <c r="AA5">
        <f t="shared" si="6"/>
        <v>3300</v>
      </c>
      <c r="AB5" s="3">
        <f t="shared" si="7"/>
        <v>0.12944778000000001</v>
      </c>
      <c r="AC5" s="4">
        <f>AB5*10</f>
        <v>1.2944778000000001</v>
      </c>
      <c r="AD5" s="2">
        <f t="shared" si="9"/>
        <v>87.925239603096543</v>
      </c>
      <c r="AE5" s="3">
        <f t="shared" si="10"/>
        <v>4</v>
      </c>
    </row>
    <row r="6" spans="1:31" x14ac:dyDescent="0.3">
      <c r="A6">
        <f t="shared" si="11"/>
        <v>5</v>
      </c>
      <c r="B6">
        <f t="shared" si="12"/>
        <v>5000</v>
      </c>
      <c r="C6">
        <f t="shared" si="13"/>
        <v>290</v>
      </c>
      <c r="D6">
        <f t="shared" si="13"/>
        <v>2.5</v>
      </c>
      <c r="E6">
        <f t="shared" si="13"/>
        <v>1.7</v>
      </c>
      <c r="F6">
        <f t="shared" si="13"/>
        <v>48</v>
      </c>
      <c r="G6">
        <f t="shared" si="13"/>
        <v>21</v>
      </c>
      <c r="I6" s="2">
        <f t="shared" si="14"/>
        <v>378.13628699173614</v>
      </c>
      <c r="J6">
        <f t="shared" si="0"/>
        <v>5000</v>
      </c>
      <c r="K6">
        <f t="shared" si="1"/>
        <v>3300</v>
      </c>
      <c r="L6" s="3">
        <f t="shared" si="2"/>
        <v>0.16180972499999999</v>
      </c>
      <c r="M6" s="3">
        <f t="shared" si="3"/>
        <v>1.6180972499999999</v>
      </c>
      <c r="N6" s="2">
        <f t="shared" si="4"/>
        <v>105.98628699173616</v>
      </c>
      <c r="Q6" s="1">
        <f t="shared" si="15"/>
        <v>5</v>
      </c>
      <c r="R6">
        <f t="shared" si="16"/>
        <v>5000</v>
      </c>
      <c r="S6">
        <f t="shared" si="17"/>
        <v>290</v>
      </c>
      <c r="T6">
        <f t="shared" si="17"/>
        <v>2.5</v>
      </c>
      <c r="U6">
        <f t="shared" si="17"/>
        <v>1.7</v>
      </c>
      <c r="V6">
        <f t="shared" si="17"/>
        <v>47</v>
      </c>
      <c r="W6">
        <f t="shared" si="17"/>
        <v>22</v>
      </c>
      <c r="Y6" s="2">
        <f t="shared" si="18"/>
        <v>376.10895398866393</v>
      </c>
      <c r="Z6">
        <f t="shared" si="5"/>
        <v>5000</v>
      </c>
      <c r="AA6">
        <f t="shared" si="6"/>
        <v>3300</v>
      </c>
      <c r="AB6" s="3">
        <f t="shared" si="7"/>
        <v>0.16180972499999999</v>
      </c>
      <c r="AC6" s="4">
        <f t="shared" si="8"/>
        <v>1.6180972499999999</v>
      </c>
      <c r="AD6" s="2">
        <f t="shared" si="9"/>
        <v>103.95895398866395</v>
      </c>
      <c r="AE6" s="3">
        <f t="shared" si="10"/>
        <v>5</v>
      </c>
    </row>
    <row r="7" spans="1:31" x14ac:dyDescent="0.3">
      <c r="A7">
        <f t="shared" si="11"/>
        <v>6</v>
      </c>
      <c r="B7">
        <f t="shared" si="12"/>
        <v>6000</v>
      </c>
      <c r="C7">
        <f t="shared" si="13"/>
        <v>290</v>
      </c>
      <c r="D7">
        <f t="shared" si="13"/>
        <v>2.5</v>
      </c>
      <c r="E7">
        <f t="shared" si="13"/>
        <v>1.7</v>
      </c>
      <c r="F7">
        <f t="shared" si="13"/>
        <v>48</v>
      </c>
      <c r="G7">
        <f t="shared" si="13"/>
        <v>21</v>
      </c>
      <c r="I7" s="2">
        <f t="shared" si="14"/>
        <v>394.04698935258324</v>
      </c>
      <c r="J7">
        <f t="shared" si="0"/>
        <v>6000</v>
      </c>
      <c r="K7">
        <f t="shared" si="1"/>
        <v>3300</v>
      </c>
      <c r="L7" s="3">
        <f t="shared" si="2"/>
        <v>0.19417166999999999</v>
      </c>
      <c r="M7" s="3">
        <f t="shared" si="3"/>
        <v>1.9417167</v>
      </c>
      <c r="N7" s="2">
        <f t="shared" si="4"/>
        <v>121.89698935258326</v>
      </c>
      <c r="Q7" s="1">
        <f t="shared" si="15"/>
        <v>6</v>
      </c>
      <c r="R7">
        <f t="shared" si="16"/>
        <v>6000</v>
      </c>
      <c r="S7">
        <f t="shared" si="17"/>
        <v>290</v>
      </c>
      <c r="T7">
        <f t="shared" si="17"/>
        <v>2.5</v>
      </c>
      <c r="U7">
        <f t="shared" si="17"/>
        <v>1.7</v>
      </c>
      <c r="V7">
        <f t="shared" si="17"/>
        <v>47</v>
      </c>
      <c r="W7">
        <f t="shared" si="17"/>
        <v>22</v>
      </c>
      <c r="Y7" s="2">
        <f t="shared" si="18"/>
        <v>391.60081673032494</v>
      </c>
      <c r="Z7">
        <f t="shared" si="5"/>
        <v>6000</v>
      </c>
      <c r="AA7">
        <f t="shared" si="6"/>
        <v>3300</v>
      </c>
      <c r="AB7" s="3">
        <f t="shared" si="7"/>
        <v>0.19417166999999999</v>
      </c>
      <c r="AC7" s="4">
        <f t="shared" si="8"/>
        <v>1.9417167</v>
      </c>
      <c r="AD7" s="2">
        <f t="shared" si="9"/>
        <v>119.45081673032496</v>
      </c>
      <c r="AE7" s="3">
        <f t="shared" si="10"/>
        <v>6</v>
      </c>
    </row>
    <row r="8" spans="1:31" x14ac:dyDescent="0.3">
      <c r="A8">
        <f t="shared" si="11"/>
        <v>7</v>
      </c>
      <c r="B8">
        <f t="shared" si="12"/>
        <v>7000</v>
      </c>
      <c r="C8">
        <f t="shared" si="13"/>
        <v>290</v>
      </c>
      <c r="D8">
        <f t="shared" si="13"/>
        <v>2.5</v>
      </c>
      <c r="E8">
        <f t="shared" si="13"/>
        <v>1.7</v>
      </c>
      <c r="F8">
        <f t="shared" si="13"/>
        <v>48</v>
      </c>
      <c r="G8">
        <f t="shared" si="13"/>
        <v>21</v>
      </c>
      <c r="I8" s="2">
        <f t="shared" si="14"/>
        <v>409.44659058513207</v>
      </c>
      <c r="J8">
        <f t="shared" si="0"/>
        <v>7000</v>
      </c>
      <c r="K8">
        <f t="shared" si="1"/>
        <v>3300</v>
      </c>
      <c r="L8" s="3">
        <f t="shared" si="2"/>
        <v>0.22653361499999999</v>
      </c>
      <c r="M8" s="3">
        <f t="shared" si="3"/>
        <v>2.26533615</v>
      </c>
      <c r="N8" s="2">
        <f t="shared" si="4"/>
        <v>137.29659058513209</v>
      </c>
      <c r="Q8" s="1">
        <f t="shared" si="15"/>
        <v>7</v>
      </c>
      <c r="R8">
        <f t="shared" si="16"/>
        <v>7000</v>
      </c>
      <c r="S8">
        <f t="shared" si="17"/>
        <v>290</v>
      </c>
      <c r="T8">
        <f t="shared" si="17"/>
        <v>2.5</v>
      </c>
      <c r="U8">
        <f t="shared" si="17"/>
        <v>1.7</v>
      </c>
      <c r="V8">
        <f t="shared" si="17"/>
        <v>47</v>
      </c>
      <c r="W8">
        <f t="shared" si="17"/>
        <v>22</v>
      </c>
      <c r="Y8" s="2">
        <f t="shared" si="18"/>
        <v>406.57490606992786</v>
      </c>
      <c r="Z8">
        <f t="shared" si="5"/>
        <v>7000</v>
      </c>
      <c r="AA8">
        <f t="shared" si="6"/>
        <v>3300</v>
      </c>
      <c r="AB8" s="3">
        <f t="shared" si="7"/>
        <v>0.22653361499999999</v>
      </c>
      <c r="AC8" s="4">
        <f t="shared" si="8"/>
        <v>2.26533615</v>
      </c>
      <c r="AD8" s="2">
        <f t="shared" si="9"/>
        <v>134.42490606992789</v>
      </c>
      <c r="AE8" s="3">
        <f t="shared" si="10"/>
        <v>7</v>
      </c>
    </row>
    <row r="9" spans="1:31" x14ac:dyDescent="0.3">
      <c r="A9">
        <f t="shared" si="11"/>
        <v>8</v>
      </c>
      <c r="B9">
        <f t="shared" si="12"/>
        <v>8000</v>
      </c>
      <c r="C9">
        <f t="shared" si="13"/>
        <v>290</v>
      </c>
      <c r="D9">
        <f t="shared" si="13"/>
        <v>2.5</v>
      </c>
      <c r="E9">
        <f t="shared" si="13"/>
        <v>1.7</v>
      </c>
      <c r="F9">
        <f t="shared" si="13"/>
        <v>48</v>
      </c>
      <c r="G9">
        <f t="shared" si="13"/>
        <v>21</v>
      </c>
      <c r="I9" s="2">
        <f t="shared" si="14"/>
        <v>424.35885844823656</v>
      </c>
      <c r="J9">
        <f t="shared" si="0"/>
        <v>8000</v>
      </c>
      <c r="K9">
        <f t="shared" si="1"/>
        <v>3300</v>
      </c>
      <c r="L9" s="3">
        <f t="shared" si="2"/>
        <v>0.25889556000000002</v>
      </c>
      <c r="M9" s="3">
        <f t="shared" si="3"/>
        <v>2.5889556000000002</v>
      </c>
      <c r="N9" s="2">
        <f t="shared" si="4"/>
        <v>152.20885844823658</v>
      </c>
      <c r="Q9" s="1">
        <f t="shared" si="15"/>
        <v>8</v>
      </c>
      <c r="R9">
        <f t="shared" si="16"/>
        <v>8000</v>
      </c>
      <c r="S9">
        <f t="shared" si="17"/>
        <v>290</v>
      </c>
      <c r="T9">
        <f t="shared" si="17"/>
        <v>2.5</v>
      </c>
      <c r="U9">
        <f t="shared" si="17"/>
        <v>1.7</v>
      </c>
      <c r="V9">
        <f t="shared" si="17"/>
        <v>47</v>
      </c>
      <c r="W9">
        <f t="shared" si="17"/>
        <v>22</v>
      </c>
      <c r="Y9" s="2">
        <f t="shared" si="18"/>
        <v>421.05423028536103</v>
      </c>
      <c r="Z9">
        <f t="shared" si="5"/>
        <v>8000</v>
      </c>
      <c r="AA9">
        <f t="shared" si="6"/>
        <v>3300</v>
      </c>
      <c r="AB9" s="3">
        <f t="shared" si="7"/>
        <v>0.25889556000000002</v>
      </c>
      <c r="AC9" s="4">
        <f t="shared" si="8"/>
        <v>2.5889556000000002</v>
      </c>
      <c r="AD9" s="2">
        <f t="shared" si="9"/>
        <v>148.90423028536105</v>
      </c>
      <c r="AE9" s="3">
        <f t="shared" si="10"/>
        <v>8</v>
      </c>
    </row>
    <row r="10" spans="1:31" x14ac:dyDescent="0.3">
      <c r="A10">
        <f t="shared" si="11"/>
        <v>9</v>
      </c>
      <c r="B10">
        <f t="shared" si="12"/>
        <v>9000</v>
      </c>
      <c r="C10">
        <f t="shared" si="13"/>
        <v>290</v>
      </c>
      <c r="D10">
        <f t="shared" si="13"/>
        <v>2.5</v>
      </c>
      <c r="E10">
        <f t="shared" si="13"/>
        <v>1.7</v>
      </c>
      <c r="F10">
        <f t="shared" si="13"/>
        <v>48</v>
      </c>
      <c r="G10">
        <f t="shared" si="13"/>
        <v>21</v>
      </c>
      <c r="I10" s="2">
        <f t="shared" si="14"/>
        <v>438.80645542758703</v>
      </c>
      <c r="J10">
        <f t="shared" si="0"/>
        <v>9000</v>
      </c>
      <c r="K10">
        <f t="shared" si="1"/>
        <v>3300</v>
      </c>
      <c r="L10" s="3">
        <f t="shared" si="2"/>
        <v>0.29125750500000003</v>
      </c>
      <c r="M10" s="3">
        <f t="shared" si="3"/>
        <v>2.9125750500000001</v>
      </c>
      <c r="N10" s="2">
        <f t="shared" si="4"/>
        <v>166.65645542758705</v>
      </c>
      <c r="Q10" s="1">
        <f t="shared" si="15"/>
        <v>9</v>
      </c>
      <c r="R10">
        <f t="shared" si="16"/>
        <v>9000</v>
      </c>
      <c r="S10">
        <f t="shared" si="17"/>
        <v>290</v>
      </c>
      <c r="T10">
        <f t="shared" si="17"/>
        <v>2.5</v>
      </c>
      <c r="U10">
        <f t="shared" si="17"/>
        <v>1.7</v>
      </c>
      <c r="V10">
        <f t="shared" si="17"/>
        <v>47</v>
      </c>
      <c r="W10">
        <f t="shared" si="17"/>
        <v>22</v>
      </c>
      <c r="Y10" s="2">
        <f t="shared" si="18"/>
        <v>435.06077523650316</v>
      </c>
      <c r="Z10">
        <f t="shared" si="5"/>
        <v>9000</v>
      </c>
      <c r="AA10">
        <f t="shared" si="6"/>
        <v>3300</v>
      </c>
      <c r="AB10" s="3">
        <f t="shared" si="7"/>
        <v>0.29125750500000003</v>
      </c>
      <c r="AC10" s="4">
        <f t="shared" si="8"/>
        <v>2.9125750500000001</v>
      </c>
      <c r="AD10" s="2">
        <f t="shared" si="9"/>
        <v>162.91077523650318</v>
      </c>
      <c r="AE10" s="3">
        <f t="shared" si="10"/>
        <v>9</v>
      </c>
    </row>
    <row r="11" spans="1:31" x14ac:dyDescent="0.3">
      <c r="A11">
        <f t="shared" si="11"/>
        <v>10</v>
      </c>
      <c r="B11">
        <f t="shared" si="12"/>
        <v>10000</v>
      </c>
      <c r="C11">
        <f t="shared" si="13"/>
        <v>290</v>
      </c>
      <c r="D11">
        <f t="shared" si="13"/>
        <v>2.5</v>
      </c>
      <c r="E11">
        <f t="shared" si="13"/>
        <v>1.7</v>
      </c>
      <c r="F11">
        <f t="shared" si="13"/>
        <v>48</v>
      </c>
      <c r="G11">
        <f t="shared" si="13"/>
        <v>21</v>
      </c>
      <c r="I11" s="2">
        <f t="shared" si="14"/>
        <v>452.81099013427843</v>
      </c>
      <c r="J11">
        <f t="shared" si="0"/>
        <v>10000</v>
      </c>
      <c r="K11">
        <f t="shared" si="1"/>
        <v>3300</v>
      </c>
      <c r="L11" s="3">
        <f t="shared" si="2"/>
        <v>0.32361944999999998</v>
      </c>
      <c r="M11" s="3">
        <f t="shared" si="3"/>
        <v>3.2361944999999999</v>
      </c>
      <c r="N11" s="2">
        <f t="shared" si="4"/>
        <v>180.66099013427845</v>
      </c>
      <c r="Q11" s="1">
        <f t="shared" si="15"/>
        <v>10</v>
      </c>
      <c r="R11">
        <f t="shared" si="16"/>
        <v>10000</v>
      </c>
      <c r="S11">
        <f t="shared" si="17"/>
        <v>290</v>
      </c>
      <c r="T11">
        <f t="shared" si="17"/>
        <v>2.5</v>
      </c>
      <c r="U11">
        <f t="shared" si="17"/>
        <v>1.7</v>
      </c>
      <c r="V11">
        <f t="shared" si="17"/>
        <v>47</v>
      </c>
      <c r="W11">
        <f t="shared" si="17"/>
        <v>22</v>
      </c>
      <c r="Y11" s="2">
        <f t="shared" si="18"/>
        <v>448.61554979837439</v>
      </c>
      <c r="Z11">
        <f t="shared" si="5"/>
        <v>10000</v>
      </c>
      <c r="AA11">
        <f t="shared" si="6"/>
        <v>3300</v>
      </c>
      <c r="AB11" s="3">
        <f t="shared" si="7"/>
        <v>0.32361944999999998</v>
      </c>
      <c r="AC11" s="4">
        <f t="shared" si="8"/>
        <v>3.2361944999999999</v>
      </c>
      <c r="AD11" s="2">
        <f t="shared" si="9"/>
        <v>176.46554979837441</v>
      </c>
      <c r="AE11" s="3">
        <f t="shared" si="10"/>
        <v>10</v>
      </c>
    </row>
    <row r="12" spans="1:31" x14ac:dyDescent="0.3">
      <c r="A12">
        <f t="shared" si="11"/>
        <v>11</v>
      </c>
      <c r="B12">
        <f t="shared" si="12"/>
        <v>11000</v>
      </c>
      <c r="C12">
        <f t="shared" si="13"/>
        <v>290</v>
      </c>
      <c r="D12">
        <f t="shared" si="13"/>
        <v>2.5</v>
      </c>
      <c r="E12">
        <f t="shared" si="13"/>
        <v>1.7</v>
      </c>
      <c r="F12">
        <f t="shared" si="13"/>
        <v>48</v>
      </c>
      <c r="G12">
        <f t="shared" si="13"/>
        <v>21</v>
      </c>
      <c r="I12" s="2">
        <f t="shared" si="14"/>
        <v>466.3930663131876</v>
      </c>
      <c r="J12">
        <f t="shared" si="0"/>
        <v>11000</v>
      </c>
      <c r="K12">
        <f t="shared" si="1"/>
        <v>3300</v>
      </c>
      <c r="L12" s="3">
        <f t="shared" si="2"/>
        <v>0.35598139499999998</v>
      </c>
      <c r="M12" s="3">
        <f t="shared" si="3"/>
        <v>3.5598139499999997</v>
      </c>
      <c r="N12" s="2">
        <f t="shared" si="4"/>
        <v>194.24306631318763</v>
      </c>
      <c r="Q12" s="1">
        <f t="shared" si="15"/>
        <v>11</v>
      </c>
      <c r="R12">
        <f t="shared" si="16"/>
        <v>11000</v>
      </c>
      <c r="S12">
        <f t="shared" si="17"/>
        <v>290</v>
      </c>
      <c r="T12">
        <f t="shared" si="17"/>
        <v>2.5</v>
      </c>
      <c r="U12">
        <f t="shared" si="17"/>
        <v>1.7</v>
      </c>
      <c r="V12">
        <f t="shared" si="17"/>
        <v>47</v>
      </c>
      <c r="W12">
        <f t="shared" si="17"/>
        <v>22</v>
      </c>
      <c r="Y12" s="2">
        <f t="shared" si="18"/>
        <v>461.73862927537812</v>
      </c>
      <c r="Z12">
        <f t="shared" si="5"/>
        <v>11000</v>
      </c>
      <c r="AA12">
        <f t="shared" si="6"/>
        <v>3300</v>
      </c>
      <c r="AB12" s="3">
        <f t="shared" si="7"/>
        <v>0.35598139499999998</v>
      </c>
      <c r="AC12" s="4">
        <f t="shared" si="8"/>
        <v>3.5598139499999997</v>
      </c>
      <c r="AD12" s="2">
        <f t="shared" si="9"/>
        <v>189.58862927537814</v>
      </c>
      <c r="AE12" s="3">
        <f t="shared" si="10"/>
        <v>11</v>
      </c>
    </row>
    <row r="13" spans="1:31" x14ac:dyDescent="0.3">
      <c r="A13">
        <f t="shared" si="11"/>
        <v>12</v>
      </c>
      <c r="B13">
        <f t="shared" si="12"/>
        <v>12000</v>
      </c>
      <c r="C13">
        <f t="shared" si="13"/>
        <v>290</v>
      </c>
      <c r="D13">
        <f t="shared" si="13"/>
        <v>2.5</v>
      </c>
      <c r="E13">
        <f t="shared" si="13"/>
        <v>1.7</v>
      </c>
      <c r="F13">
        <f t="shared" si="13"/>
        <v>48</v>
      </c>
      <c r="G13">
        <f t="shared" si="13"/>
        <v>21</v>
      </c>
      <c r="I13" s="2">
        <f t="shared" si="14"/>
        <v>479.57232957231315</v>
      </c>
      <c r="J13">
        <f t="shared" si="0"/>
        <v>12000</v>
      </c>
      <c r="K13">
        <f t="shared" si="1"/>
        <v>3300</v>
      </c>
      <c r="L13" s="3">
        <f t="shared" si="2"/>
        <v>0.38834333999999998</v>
      </c>
      <c r="M13" s="3">
        <f t="shared" si="3"/>
        <v>3.8834333999999999</v>
      </c>
      <c r="N13" s="2">
        <f t="shared" si="4"/>
        <v>207.42232957231317</v>
      </c>
      <c r="Q13" s="1">
        <f t="shared" si="15"/>
        <v>12</v>
      </c>
      <c r="R13">
        <f t="shared" si="16"/>
        <v>12000</v>
      </c>
      <c r="S13">
        <f t="shared" si="17"/>
        <v>290</v>
      </c>
      <c r="T13">
        <f t="shared" si="17"/>
        <v>2.5</v>
      </c>
      <c r="U13">
        <f t="shared" si="17"/>
        <v>1.7</v>
      </c>
      <c r="V13">
        <f t="shared" si="17"/>
        <v>47</v>
      </c>
      <c r="W13">
        <f t="shared" si="17"/>
        <v>22</v>
      </c>
      <c r="Y13" s="2">
        <f t="shared" si="18"/>
        <v>474.44919688634354</v>
      </c>
      <c r="Z13">
        <f t="shared" si="5"/>
        <v>12000</v>
      </c>
      <c r="AA13">
        <f t="shared" si="6"/>
        <v>3300</v>
      </c>
      <c r="AB13" s="3">
        <f t="shared" si="7"/>
        <v>0.38834333999999998</v>
      </c>
      <c r="AC13" s="4">
        <f t="shared" si="8"/>
        <v>3.8834333999999999</v>
      </c>
      <c r="AD13" s="2">
        <f t="shared" si="9"/>
        <v>202.29919688634357</v>
      </c>
      <c r="AE13" s="3">
        <f t="shared" si="10"/>
        <v>12</v>
      </c>
    </row>
    <row r="14" spans="1:31" x14ac:dyDescent="0.3">
      <c r="A14">
        <f t="shared" si="11"/>
        <v>13</v>
      </c>
      <c r="B14">
        <f t="shared" si="12"/>
        <v>13000</v>
      </c>
      <c r="C14">
        <f t="shared" si="13"/>
        <v>290</v>
      </c>
      <c r="D14">
        <f t="shared" si="13"/>
        <v>2.5</v>
      </c>
      <c r="E14">
        <f t="shared" si="13"/>
        <v>1.7</v>
      </c>
      <c r="F14">
        <f t="shared" si="13"/>
        <v>48</v>
      </c>
      <c r="G14">
        <f t="shared" si="13"/>
        <v>21</v>
      </c>
      <c r="I14" s="2">
        <f t="shared" si="14"/>
        <v>492.36751193905741</v>
      </c>
      <c r="J14">
        <f t="shared" si="0"/>
        <v>13000</v>
      </c>
      <c r="K14">
        <f t="shared" si="1"/>
        <v>3300</v>
      </c>
      <c r="L14" s="3">
        <f t="shared" si="2"/>
        <v>0.42070528499999998</v>
      </c>
      <c r="M14" s="3">
        <f t="shared" si="3"/>
        <v>4.2070528500000002</v>
      </c>
      <c r="N14" s="2">
        <f t="shared" si="4"/>
        <v>220.21751193905743</v>
      </c>
      <c r="Q14" s="1">
        <f t="shared" si="15"/>
        <v>13</v>
      </c>
      <c r="R14">
        <f t="shared" si="16"/>
        <v>13000</v>
      </c>
      <c r="S14">
        <f t="shared" si="17"/>
        <v>290</v>
      </c>
      <c r="T14">
        <f t="shared" si="17"/>
        <v>2.5</v>
      </c>
      <c r="U14">
        <f t="shared" si="17"/>
        <v>1.7</v>
      </c>
      <c r="V14">
        <f t="shared" si="17"/>
        <v>47</v>
      </c>
      <c r="W14">
        <f t="shared" si="17"/>
        <v>22</v>
      </c>
      <c r="Y14" s="2">
        <f t="shared" si="18"/>
        <v>486.76558340610069</v>
      </c>
      <c r="Z14">
        <f t="shared" si="5"/>
        <v>13000</v>
      </c>
      <c r="AA14">
        <f t="shared" si="6"/>
        <v>3300</v>
      </c>
      <c r="AB14" s="3">
        <f t="shared" si="7"/>
        <v>0.42070528499999998</v>
      </c>
      <c r="AC14" s="4">
        <f t="shared" si="8"/>
        <v>4.2070528500000002</v>
      </c>
      <c r="AD14" s="2">
        <f t="shared" si="9"/>
        <v>214.61558340610071</v>
      </c>
      <c r="AE14" s="3">
        <f t="shared" si="10"/>
        <v>13</v>
      </c>
    </row>
    <row r="15" spans="1:31" x14ac:dyDescent="0.3">
      <c r="A15">
        <f t="shared" si="11"/>
        <v>14</v>
      </c>
      <c r="B15">
        <f t="shared" si="12"/>
        <v>14000</v>
      </c>
      <c r="C15">
        <f t="shared" si="13"/>
        <v>290</v>
      </c>
      <c r="D15">
        <f t="shared" si="13"/>
        <v>2.5</v>
      </c>
      <c r="E15">
        <f t="shared" si="13"/>
        <v>1.7</v>
      </c>
      <c r="F15">
        <f t="shared" si="13"/>
        <v>48</v>
      </c>
      <c r="G15">
        <f t="shared" si="13"/>
        <v>21</v>
      </c>
      <c r="I15" s="2">
        <f t="shared" si="14"/>
        <v>504.79647434450629</v>
      </c>
      <c r="J15">
        <f t="shared" si="0"/>
        <v>14000</v>
      </c>
      <c r="K15">
        <f t="shared" si="1"/>
        <v>3300</v>
      </c>
      <c r="L15" s="3">
        <f t="shared" si="2"/>
        <v>0.45306722999999999</v>
      </c>
      <c r="M15" s="3">
        <f t="shared" si="3"/>
        <v>4.5306723</v>
      </c>
      <c r="N15" s="2">
        <f t="shared" si="4"/>
        <v>232.64647434450632</v>
      </c>
      <c r="Q15" s="1">
        <f t="shared" si="15"/>
        <v>14</v>
      </c>
      <c r="R15">
        <f t="shared" si="16"/>
        <v>14000</v>
      </c>
      <c r="S15">
        <f t="shared" si="17"/>
        <v>290</v>
      </c>
      <c r="T15">
        <f t="shared" si="17"/>
        <v>2.5</v>
      </c>
      <c r="U15">
        <f t="shared" si="17"/>
        <v>1.7</v>
      </c>
      <c r="V15">
        <f t="shared" si="17"/>
        <v>47</v>
      </c>
      <c r="W15">
        <f t="shared" si="17"/>
        <v>22</v>
      </c>
      <c r="Y15" s="2">
        <f t="shared" si="18"/>
        <v>498.70530504550351</v>
      </c>
      <c r="Z15">
        <f t="shared" si="5"/>
        <v>14000</v>
      </c>
      <c r="AA15">
        <f t="shared" si="6"/>
        <v>3300</v>
      </c>
      <c r="AB15" s="3">
        <f t="shared" si="7"/>
        <v>0.45306722999999999</v>
      </c>
      <c r="AC15" s="4">
        <f t="shared" si="8"/>
        <v>4.5306723</v>
      </c>
      <c r="AD15" s="2">
        <f t="shared" si="9"/>
        <v>226.55530504550353</v>
      </c>
      <c r="AE15" s="3">
        <f t="shared" si="10"/>
        <v>14</v>
      </c>
    </row>
    <row r="16" spans="1:31" x14ac:dyDescent="0.3">
      <c r="A16">
        <f t="shared" si="11"/>
        <v>15</v>
      </c>
      <c r="B16">
        <f t="shared" si="12"/>
        <v>15000</v>
      </c>
      <c r="C16">
        <f t="shared" si="13"/>
        <v>290</v>
      </c>
      <c r="D16">
        <f t="shared" si="13"/>
        <v>2.5</v>
      </c>
      <c r="E16">
        <f t="shared" si="13"/>
        <v>1.7</v>
      </c>
      <c r="F16">
        <f t="shared" si="13"/>
        <v>48</v>
      </c>
      <c r="G16">
        <f t="shared" si="13"/>
        <v>21</v>
      </c>
      <c r="I16" s="2">
        <f t="shared" si="14"/>
        <v>516.87624713206094</v>
      </c>
      <c r="J16">
        <f t="shared" si="0"/>
        <v>15000</v>
      </c>
      <c r="K16">
        <f t="shared" si="1"/>
        <v>3300</v>
      </c>
      <c r="L16" s="3">
        <f t="shared" si="2"/>
        <v>0.48542917499999999</v>
      </c>
      <c r="M16" s="3">
        <f t="shared" si="3"/>
        <v>4.8542917499999998</v>
      </c>
      <c r="N16" s="2">
        <f t="shared" si="4"/>
        <v>244.72624713206096</v>
      </c>
      <c r="Q16" s="1">
        <f t="shared" si="15"/>
        <v>15</v>
      </c>
      <c r="R16">
        <f t="shared" si="16"/>
        <v>15000</v>
      </c>
      <c r="S16">
        <f t="shared" si="17"/>
        <v>290</v>
      </c>
      <c r="T16">
        <f t="shared" si="17"/>
        <v>2.5</v>
      </c>
      <c r="U16">
        <f t="shared" si="17"/>
        <v>1.7</v>
      </c>
      <c r="V16">
        <f t="shared" si="17"/>
        <v>47</v>
      </c>
      <c r="W16">
        <f t="shared" si="17"/>
        <v>22</v>
      </c>
      <c r="Y16" s="2">
        <f t="shared" si="18"/>
        <v>510.28509964817908</v>
      </c>
      <c r="Z16">
        <f t="shared" si="5"/>
        <v>15000</v>
      </c>
      <c r="AA16">
        <f t="shared" si="6"/>
        <v>3300</v>
      </c>
      <c r="AB16" s="3">
        <f t="shared" si="7"/>
        <v>0.48542917499999999</v>
      </c>
      <c r="AC16" s="4">
        <f t="shared" si="8"/>
        <v>4.8542917499999998</v>
      </c>
      <c r="AD16" s="2">
        <f t="shared" si="9"/>
        <v>238.13509964817911</v>
      </c>
      <c r="AE16" s="3">
        <f t="shared" si="10"/>
        <v>15</v>
      </c>
    </row>
    <row r="17" spans="1:31" x14ac:dyDescent="0.3">
      <c r="A17">
        <f t="shared" si="11"/>
        <v>16</v>
      </c>
      <c r="B17">
        <f t="shared" si="12"/>
        <v>16000</v>
      </c>
      <c r="C17">
        <f t="shared" si="13"/>
        <v>290</v>
      </c>
      <c r="D17">
        <f t="shared" si="13"/>
        <v>2.5</v>
      </c>
      <c r="E17">
        <f t="shared" si="13"/>
        <v>1.7</v>
      </c>
      <c r="F17">
        <f t="shared" si="13"/>
        <v>48</v>
      </c>
      <c r="G17">
        <f t="shared" si="13"/>
        <v>21</v>
      </c>
      <c r="I17" s="2">
        <f t="shared" si="14"/>
        <v>528.62306868229382</v>
      </c>
      <c r="J17">
        <f t="shared" si="0"/>
        <v>16000</v>
      </c>
      <c r="K17">
        <f t="shared" si="1"/>
        <v>3300</v>
      </c>
      <c r="L17" s="3">
        <f t="shared" si="2"/>
        <v>0.51779112000000005</v>
      </c>
      <c r="M17" s="3">
        <f t="shared" si="3"/>
        <v>5.1779112000000005</v>
      </c>
      <c r="N17" s="2">
        <f t="shared" si="4"/>
        <v>256.47306868229384</v>
      </c>
      <c r="Q17" s="1">
        <f t="shared" si="15"/>
        <v>16</v>
      </c>
      <c r="R17">
        <f t="shared" si="16"/>
        <v>16000</v>
      </c>
      <c r="S17">
        <f t="shared" si="17"/>
        <v>290</v>
      </c>
      <c r="T17">
        <f t="shared" si="17"/>
        <v>2.5</v>
      </c>
      <c r="U17">
        <f t="shared" si="17"/>
        <v>1.7</v>
      </c>
      <c r="V17">
        <f t="shared" si="17"/>
        <v>47</v>
      </c>
      <c r="W17">
        <f t="shared" si="17"/>
        <v>22</v>
      </c>
      <c r="Y17" s="2">
        <f t="shared" si="18"/>
        <v>521.52096127880463</v>
      </c>
      <c r="Z17">
        <f t="shared" si="5"/>
        <v>16000</v>
      </c>
      <c r="AA17">
        <f t="shared" si="6"/>
        <v>3300</v>
      </c>
      <c r="AB17" s="3">
        <f t="shared" si="7"/>
        <v>0.51779112000000005</v>
      </c>
      <c r="AC17" s="4">
        <f t="shared" si="8"/>
        <v>5.1779112000000005</v>
      </c>
      <c r="AD17" s="2">
        <f t="shared" si="9"/>
        <v>249.37096127880466</v>
      </c>
      <c r="AE17" s="3">
        <f t="shared" si="10"/>
        <v>16</v>
      </c>
    </row>
    <row r="18" spans="1:31" x14ac:dyDescent="0.3">
      <c r="A18">
        <f t="shared" si="11"/>
        <v>17</v>
      </c>
      <c r="B18">
        <f t="shared" si="12"/>
        <v>17000</v>
      </c>
      <c r="C18">
        <f t="shared" si="13"/>
        <v>290</v>
      </c>
      <c r="D18">
        <f t="shared" si="13"/>
        <v>2.5</v>
      </c>
      <c r="E18">
        <f t="shared" si="13"/>
        <v>1.7</v>
      </c>
      <c r="F18">
        <f t="shared" si="13"/>
        <v>48</v>
      </c>
      <c r="G18">
        <f t="shared" si="13"/>
        <v>21</v>
      </c>
      <c r="I18" s="2">
        <f t="shared" si="14"/>
        <v>540.05242224163237</v>
      </c>
      <c r="J18">
        <f t="shared" si="0"/>
        <v>17000</v>
      </c>
      <c r="K18">
        <f t="shared" si="1"/>
        <v>3300</v>
      </c>
      <c r="L18" s="3">
        <f t="shared" si="2"/>
        <v>0.55015306500000005</v>
      </c>
      <c r="M18" s="3">
        <f t="shared" si="3"/>
        <v>5.5015306500000003</v>
      </c>
      <c r="N18" s="2">
        <f t="shared" si="4"/>
        <v>267.90242224163239</v>
      </c>
      <c r="Q18" s="1">
        <f t="shared" si="15"/>
        <v>17</v>
      </c>
      <c r="R18">
        <f t="shared" si="16"/>
        <v>17000</v>
      </c>
      <c r="S18">
        <f t="shared" si="17"/>
        <v>290</v>
      </c>
      <c r="T18">
        <f t="shared" si="17"/>
        <v>2.5</v>
      </c>
      <c r="U18">
        <f t="shared" si="17"/>
        <v>1.7</v>
      </c>
      <c r="V18">
        <f t="shared" si="17"/>
        <v>47</v>
      </c>
      <c r="W18">
        <f t="shared" si="17"/>
        <v>22</v>
      </c>
      <c r="Y18" s="2">
        <f t="shared" si="18"/>
        <v>532.42817327438536</v>
      </c>
      <c r="Z18">
        <f t="shared" si="5"/>
        <v>17000</v>
      </c>
      <c r="AA18">
        <f t="shared" si="6"/>
        <v>3300</v>
      </c>
      <c r="AB18" s="3">
        <f t="shared" si="7"/>
        <v>0.55015306500000005</v>
      </c>
      <c r="AC18" s="4">
        <f t="shared" si="8"/>
        <v>5.5015306500000003</v>
      </c>
      <c r="AD18" s="2">
        <f t="shared" si="9"/>
        <v>260.27817327438538</v>
      </c>
      <c r="AE18" s="3">
        <f t="shared" si="10"/>
        <v>17</v>
      </c>
    </row>
    <row r="19" spans="1:31" x14ac:dyDescent="0.3">
      <c r="A19">
        <f t="shared" si="11"/>
        <v>18</v>
      </c>
      <c r="B19">
        <f t="shared" si="12"/>
        <v>18000</v>
      </c>
      <c r="C19">
        <f t="shared" si="13"/>
        <v>290</v>
      </c>
      <c r="D19">
        <f t="shared" si="13"/>
        <v>2.5</v>
      </c>
      <c r="E19">
        <f t="shared" si="13"/>
        <v>1.7</v>
      </c>
      <c r="F19">
        <f t="shared" si="13"/>
        <v>48</v>
      </c>
      <c r="G19">
        <f t="shared" si="13"/>
        <v>21</v>
      </c>
      <c r="I19" s="2">
        <f t="shared" si="14"/>
        <v>551.17907103839616</v>
      </c>
      <c r="J19">
        <f t="shared" si="0"/>
        <v>18000</v>
      </c>
      <c r="K19">
        <f t="shared" si="1"/>
        <v>3300</v>
      </c>
      <c r="L19" s="3">
        <f t="shared" si="2"/>
        <v>0.58251501000000006</v>
      </c>
      <c r="M19" s="3">
        <f t="shared" si="3"/>
        <v>5.8251501000000001</v>
      </c>
      <c r="N19" s="2">
        <f t="shared" si="4"/>
        <v>279.02907103839618</v>
      </c>
      <c r="Q19" s="1">
        <f t="shared" si="15"/>
        <v>18</v>
      </c>
      <c r="R19">
        <f t="shared" si="16"/>
        <v>18000</v>
      </c>
      <c r="S19">
        <f t="shared" si="17"/>
        <v>290</v>
      </c>
      <c r="T19">
        <f t="shared" si="17"/>
        <v>2.5</v>
      </c>
      <c r="U19">
        <f t="shared" si="17"/>
        <v>1.7</v>
      </c>
      <c r="V19">
        <f t="shared" si="17"/>
        <v>47</v>
      </c>
      <c r="W19">
        <f t="shared" si="17"/>
        <v>22</v>
      </c>
      <c r="Y19" s="2">
        <f t="shared" si="18"/>
        <v>543.02133982683415</v>
      </c>
      <c r="Z19">
        <f t="shared" si="5"/>
        <v>18000</v>
      </c>
      <c r="AA19">
        <f t="shared" si="6"/>
        <v>3300</v>
      </c>
      <c r="AB19" s="3">
        <f t="shared" si="7"/>
        <v>0.58251501000000006</v>
      </c>
      <c r="AC19" s="4">
        <f t="shared" si="8"/>
        <v>5.8251501000000001</v>
      </c>
      <c r="AD19" s="2">
        <f t="shared" si="9"/>
        <v>270.87133982683417</v>
      </c>
      <c r="AE19" s="3">
        <f t="shared" si="10"/>
        <v>18</v>
      </c>
    </row>
    <row r="20" spans="1:31" x14ac:dyDescent="0.3">
      <c r="A20">
        <f t="shared" si="11"/>
        <v>19</v>
      </c>
      <c r="B20">
        <f t="shared" si="12"/>
        <v>19000</v>
      </c>
      <c r="C20">
        <f t="shared" ref="C20:G35" si="19">C19</f>
        <v>290</v>
      </c>
      <c r="D20">
        <f t="shared" si="19"/>
        <v>2.5</v>
      </c>
      <c r="E20">
        <f t="shared" si="19"/>
        <v>1.7</v>
      </c>
      <c r="F20">
        <f t="shared" si="19"/>
        <v>48</v>
      </c>
      <c r="G20">
        <f t="shared" si="19"/>
        <v>21</v>
      </c>
      <c r="I20" s="2">
        <f t="shared" si="14"/>
        <v>562.01709176583131</v>
      </c>
      <c r="J20">
        <f t="shared" si="0"/>
        <v>19000</v>
      </c>
      <c r="K20">
        <f t="shared" si="1"/>
        <v>3300</v>
      </c>
      <c r="L20" s="3">
        <f t="shared" si="2"/>
        <v>0.61487695499999995</v>
      </c>
      <c r="M20" s="3">
        <f t="shared" si="3"/>
        <v>6.148769549999999</v>
      </c>
      <c r="N20" s="2">
        <f t="shared" si="4"/>
        <v>289.86709176583133</v>
      </c>
      <c r="Q20" s="1">
        <f t="shared" si="15"/>
        <v>19</v>
      </c>
      <c r="R20">
        <f t="shared" si="16"/>
        <v>19000</v>
      </c>
      <c r="S20">
        <f t="shared" ref="S20:W35" si="20">S19</f>
        <v>290</v>
      </c>
      <c r="T20">
        <f t="shared" si="20"/>
        <v>2.5</v>
      </c>
      <c r="U20">
        <f t="shared" si="20"/>
        <v>1.7</v>
      </c>
      <c r="V20">
        <f t="shared" si="20"/>
        <v>47</v>
      </c>
      <c r="W20">
        <f t="shared" si="20"/>
        <v>22</v>
      </c>
      <c r="Y20" s="2">
        <f t="shared" si="18"/>
        <v>553.31441616211748</v>
      </c>
      <c r="Z20">
        <f t="shared" si="5"/>
        <v>19000</v>
      </c>
      <c r="AA20">
        <f t="shared" si="6"/>
        <v>3300</v>
      </c>
      <c r="AB20" s="3">
        <f t="shared" si="7"/>
        <v>0.61487695499999995</v>
      </c>
      <c r="AC20" s="4">
        <f t="shared" si="8"/>
        <v>6.148769549999999</v>
      </c>
      <c r="AD20" s="2">
        <f t="shared" si="9"/>
        <v>281.1644161621175</v>
      </c>
      <c r="AE20" s="3">
        <f t="shared" si="10"/>
        <v>19</v>
      </c>
    </row>
    <row r="21" spans="1:31" x14ac:dyDescent="0.3">
      <c r="A21">
        <f t="shared" si="11"/>
        <v>20</v>
      </c>
      <c r="B21">
        <f t="shared" si="12"/>
        <v>20000</v>
      </c>
      <c r="C21">
        <f t="shared" si="19"/>
        <v>290</v>
      </c>
      <c r="D21">
        <f t="shared" si="19"/>
        <v>2.5</v>
      </c>
      <c r="E21">
        <f t="shared" si="19"/>
        <v>1.7</v>
      </c>
      <c r="F21">
        <f t="shared" si="19"/>
        <v>48</v>
      </c>
      <c r="G21">
        <f t="shared" si="19"/>
        <v>21</v>
      </c>
      <c r="I21" s="2">
        <f t="shared" si="14"/>
        <v>572.57990650808233</v>
      </c>
      <c r="J21">
        <f t="shared" si="0"/>
        <v>20000</v>
      </c>
      <c r="K21">
        <f t="shared" si="1"/>
        <v>3300</v>
      </c>
      <c r="L21" s="3">
        <f t="shared" si="2"/>
        <v>0.64723889999999995</v>
      </c>
      <c r="M21" s="3">
        <f t="shared" si="3"/>
        <v>6.4723889999999997</v>
      </c>
      <c r="N21" s="2">
        <f t="shared" si="4"/>
        <v>300.42990650808235</v>
      </c>
      <c r="Q21" s="1">
        <f t="shared" si="15"/>
        <v>20</v>
      </c>
      <c r="R21">
        <f t="shared" si="16"/>
        <v>20000</v>
      </c>
      <c r="S21">
        <f t="shared" si="20"/>
        <v>290</v>
      </c>
      <c r="T21">
        <f t="shared" si="20"/>
        <v>2.5</v>
      </c>
      <c r="U21">
        <f t="shared" si="20"/>
        <v>1.7</v>
      </c>
      <c r="V21">
        <f t="shared" si="20"/>
        <v>47</v>
      </c>
      <c r="W21">
        <f t="shared" si="20"/>
        <v>22</v>
      </c>
      <c r="Y21" s="2">
        <f t="shared" si="18"/>
        <v>563.32073737833173</v>
      </c>
      <c r="Z21">
        <f t="shared" si="5"/>
        <v>20000</v>
      </c>
      <c r="AA21">
        <f t="shared" si="6"/>
        <v>3300</v>
      </c>
      <c r="AB21" s="3">
        <f t="shared" si="7"/>
        <v>0.64723889999999995</v>
      </c>
      <c r="AC21" s="4">
        <f t="shared" si="8"/>
        <v>6.4723889999999997</v>
      </c>
      <c r="AD21" s="2">
        <f t="shared" si="9"/>
        <v>291.17073737833175</v>
      </c>
      <c r="AE21" s="3">
        <f t="shared" si="10"/>
        <v>20</v>
      </c>
    </row>
    <row r="22" spans="1:31" x14ac:dyDescent="0.3">
      <c r="A22">
        <f t="shared" si="11"/>
        <v>21</v>
      </c>
      <c r="B22">
        <f t="shared" si="12"/>
        <v>21000</v>
      </c>
      <c r="C22">
        <f t="shared" si="19"/>
        <v>290</v>
      </c>
      <c r="D22">
        <f t="shared" si="19"/>
        <v>2.5</v>
      </c>
      <c r="E22">
        <f t="shared" si="19"/>
        <v>1.7</v>
      </c>
      <c r="F22">
        <f t="shared" si="19"/>
        <v>48</v>
      </c>
      <c r="G22">
        <f t="shared" si="19"/>
        <v>21</v>
      </c>
      <c r="I22" s="2">
        <f t="shared" si="14"/>
        <v>582.88031318150797</v>
      </c>
      <c r="J22">
        <f t="shared" si="0"/>
        <v>21000</v>
      </c>
      <c r="K22">
        <f t="shared" si="1"/>
        <v>3300</v>
      </c>
      <c r="L22" s="3">
        <f t="shared" si="2"/>
        <v>0.67960084499999995</v>
      </c>
      <c r="M22" s="3">
        <f t="shared" si="3"/>
        <v>6.7960084499999995</v>
      </c>
      <c r="N22" s="2">
        <f t="shared" si="4"/>
        <v>310.730313181508</v>
      </c>
      <c r="Q22" s="1">
        <f t="shared" si="15"/>
        <v>21</v>
      </c>
      <c r="R22">
        <f t="shared" si="16"/>
        <v>21000</v>
      </c>
      <c r="S22">
        <f t="shared" si="20"/>
        <v>290</v>
      </c>
      <c r="T22">
        <f t="shared" si="20"/>
        <v>2.5</v>
      </c>
      <c r="U22">
        <f t="shared" si="20"/>
        <v>1.7</v>
      </c>
      <c r="V22">
        <f t="shared" si="20"/>
        <v>47</v>
      </c>
      <c r="W22">
        <f t="shared" si="20"/>
        <v>22</v>
      </c>
      <c r="Y22" s="2">
        <f t="shared" si="18"/>
        <v>573.05304600230306</v>
      </c>
      <c r="Z22">
        <f t="shared" si="5"/>
        <v>21000</v>
      </c>
      <c r="AA22">
        <f t="shared" si="6"/>
        <v>3300</v>
      </c>
      <c r="AB22" s="3">
        <f t="shared" si="7"/>
        <v>0.67960084499999995</v>
      </c>
      <c r="AC22" s="4">
        <f t="shared" si="8"/>
        <v>6.7960084499999995</v>
      </c>
      <c r="AD22" s="2">
        <f t="shared" si="9"/>
        <v>300.90304600230309</v>
      </c>
      <c r="AE22" s="3">
        <f t="shared" si="10"/>
        <v>21</v>
      </c>
    </row>
    <row r="23" spans="1:31" x14ac:dyDescent="0.3">
      <c r="A23">
        <f t="shared" si="11"/>
        <v>22</v>
      </c>
      <c r="B23">
        <f t="shared" si="12"/>
        <v>22000</v>
      </c>
      <c r="C23">
        <f t="shared" si="19"/>
        <v>290</v>
      </c>
      <c r="D23">
        <f t="shared" si="19"/>
        <v>2.5</v>
      </c>
      <c r="E23">
        <f t="shared" si="19"/>
        <v>1.7</v>
      </c>
      <c r="F23">
        <f t="shared" si="19"/>
        <v>48</v>
      </c>
      <c r="G23">
        <f t="shared" si="19"/>
        <v>21</v>
      </c>
      <c r="I23" s="2">
        <f t="shared" si="14"/>
        <v>592.93051456038484</v>
      </c>
      <c r="J23">
        <f t="shared" si="0"/>
        <v>22000</v>
      </c>
      <c r="K23">
        <f t="shared" si="1"/>
        <v>3300</v>
      </c>
      <c r="L23" s="3">
        <f t="shared" si="2"/>
        <v>0.71196278999999996</v>
      </c>
      <c r="M23" s="3">
        <f t="shared" si="3"/>
        <v>7.1196278999999993</v>
      </c>
      <c r="N23" s="2">
        <f t="shared" si="4"/>
        <v>320.78051456038486</v>
      </c>
      <c r="Q23" s="1">
        <f t="shared" si="15"/>
        <v>22</v>
      </c>
      <c r="R23">
        <f t="shared" si="16"/>
        <v>22000</v>
      </c>
      <c r="S23">
        <f t="shared" si="20"/>
        <v>290</v>
      </c>
      <c r="T23">
        <f t="shared" si="20"/>
        <v>2.5</v>
      </c>
      <c r="U23">
        <f t="shared" si="20"/>
        <v>1.7</v>
      </c>
      <c r="V23">
        <f t="shared" si="20"/>
        <v>47</v>
      </c>
      <c r="W23">
        <f t="shared" si="20"/>
        <v>22</v>
      </c>
      <c r="Y23" s="2">
        <f t="shared" si="18"/>
        <v>582.52351832165493</v>
      </c>
      <c r="Z23">
        <f t="shared" si="5"/>
        <v>22000</v>
      </c>
      <c r="AA23">
        <f t="shared" si="6"/>
        <v>3300</v>
      </c>
      <c r="AB23" s="3">
        <f t="shared" si="7"/>
        <v>0.71196278999999996</v>
      </c>
      <c r="AC23" s="4">
        <f t="shared" si="8"/>
        <v>7.1196278999999993</v>
      </c>
      <c r="AD23" s="2">
        <f t="shared" si="9"/>
        <v>310.37351832165496</v>
      </c>
      <c r="AE23" s="3">
        <f t="shared" si="10"/>
        <v>22</v>
      </c>
    </row>
    <row r="24" spans="1:31" x14ac:dyDescent="0.3">
      <c r="A24">
        <f t="shared" si="11"/>
        <v>23</v>
      </c>
      <c r="B24">
        <f t="shared" si="12"/>
        <v>23000</v>
      </c>
      <c r="C24">
        <f t="shared" si="19"/>
        <v>290</v>
      </c>
      <c r="D24">
        <f t="shared" si="19"/>
        <v>2.5</v>
      </c>
      <c r="E24">
        <f t="shared" si="19"/>
        <v>1.7</v>
      </c>
      <c r="F24">
        <f t="shared" si="19"/>
        <v>48</v>
      </c>
      <c r="G24">
        <f t="shared" si="19"/>
        <v>21</v>
      </c>
      <c r="I24" s="2">
        <f t="shared" si="14"/>
        <v>602.7421459528266</v>
      </c>
      <c r="J24">
        <f t="shared" si="0"/>
        <v>23000</v>
      </c>
      <c r="K24">
        <f t="shared" si="1"/>
        <v>3300</v>
      </c>
      <c r="L24" s="3">
        <f t="shared" si="2"/>
        <v>0.74432473499999996</v>
      </c>
      <c r="M24" s="3">
        <f t="shared" si="3"/>
        <v>7.44324735</v>
      </c>
      <c r="N24" s="2">
        <f t="shared" si="4"/>
        <v>330.59214595282663</v>
      </c>
      <c r="Q24" s="1">
        <f t="shared" si="15"/>
        <v>23</v>
      </c>
      <c r="R24">
        <f t="shared" si="16"/>
        <v>23000</v>
      </c>
      <c r="S24">
        <f t="shared" si="20"/>
        <v>290</v>
      </c>
      <c r="T24">
        <f t="shared" si="20"/>
        <v>2.5</v>
      </c>
      <c r="U24">
        <f t="shared" si="20"/>
        <v>1.7</v>
      </c>
      <c r="V24">
        <f t="shared" si="20"/>
        <v>47</v>
      </c>
      <c r="W24">
        <f t="shared" si="20"/>
        <v>22</v>
      </c>
      <c r="Y24" s="2">
        <f t="shared" si="18"/>
        <v>591.74378954675933</v>
      </c>
      <c r="Z24">
        <f t="shared" si="5"/>
        <v>23000</v>
      </c>
      <c r="AA24">
        <f t="shared" si="6"/>
        <v>3300</v>
      </c>
      <c r="AB24" s="3">
        <f t="shared" si="7"/>
        <v>0.74432473499999996</v>
      </c>
      <c r="AC24" s="4">
        <f t="shared" si="8"/>
        <v>7.44324735</v>
      </c>
      <c r="AD24" s="2">
        <f t="shared" si="9"/>
        <v>319.59378954675935</v>
      </c>
      <c r="AE24" s="3">
        <f t="shared" si="10"/>
        <v>23</v>
      </c>
    </row>
    <row r="25" spans="1:31" x14ac:dyDescent="0.3">
      <c r="A25">
        <f t="shared" si="11"/>
        <v>24</v>
      </c>
      <c r="B25">
        <f t="shared" si="12"/>
        <v>24000</v>
      </c>
      <c r="C25">
        <f t="shared" si="19"/>
        <v>290</v>
      </c>
      <c r="D25">
        <f t="shared" si="19"/>
        <v>2.5</v>
      </c>
      <c r="E25">
        <f t="shared" si="19"/>
        <v>1.7</v>
      </c>
      <c r="F25">
        <f t="shared" si="19"/>
        <v>48</v>
      </c>
      <c r="G25">
        <f t="shared" si="19"/>
        <v>21</v>
      </c>
      <c r="I25" s="2">
        <f t="shared" si="14"/>
        <v>612.32630158968777</v>
      </c>
      <c r="J25">
        <f t="shared" si="0"/>
        <v>24000</v>
      </c>
      <c r="K25">
        <f t="shared" si="1"/>
        <v>3300</v>
      </c>
      <c r="L25" s="3">
        <f t="shared" si="2"/>
        <v>0.77668667999999996</v>
      </c>
      <c r="M25" s="3">
        <f t="shared" si="3"/>
        <v>7.7668667999999998</v>
      </c>
      <c r="N25" s="2">
        <f t="shared" si="4"/>
        <v>340.1763015896878</v>
      </c>
      <c r="Q25" s="1">
        <f t="shared" si="15"/>
        <v>24</v>
      </c>
      <c r="R25">
        <f t="shared" si="16"/>
        <v>24000</v>
      </c>
      <c r="S25">
        <f t="shared" si="20"/>
        <v>290</v>
      </c>
      <c r="T25">
        <f t="shared" si="20"/>
        <v>2.5</v>
      </c>
      <c r="U25">
        <f t="shared" si="20"/>
        <v>1.7</v>
      </c>
      <c r="V25">
        <f t="shared" si="20"/>
        <v>47</v>
      </c>
      <c r="W25">
        <f t="shared" si="20"/>
        <v>22</v>
      </c>
      <c r="Y25" s="2">
        <f t="shared" si="18"/>
        <v>600.72497785456699</v>
      </c>
      <c r="Z25">
        <f t="shared" si="5"/>
        <v>24000</v>
      </c>
      <c r="AA25">
        <f t="shared" si="6"/>
        <v>3300</v>
      </c>
      <c r="AB25" s="3">
        <f t="shared" si="7"/>
        <v>0.77668667999999996</v>
      </c>
      <c r="AC25" s="4">
        <f t="shared" si="8"/>
        <v>7.7668667999999998</v>
      </c>
      <c r="AD25" s="2">
        <f t="shared" si="9"/>
        <v>328.57497785456701</v>
      </c>
      <c r="AE25" s="3">
        <f t="shared" si="10"/>
        <v>24</v>
      </c>
    </row>
    <row r="26" spans="1:31" x14ac:dyDescent="0.3">
      <c r="A26">
        <f t="shared" si="11"/>
        <v>25</v>
      </c>
      <c r="B26">
        <f t="shared" si="12"/>
        <v>25000</v>
      </c>
      <c r="C26">
        <f t="shared" si="19"/>
        <v>290</v>
      </c>
      <c r="D26">
        <f t="shared" si="19"/>
        <v>2.5</v>
      </c>
      <c r="E26">
        <f t="shared" si="19"/>
        <v>1.7</v>
      </c>
      <c r="F26">
        <f t="shared" si="19"/>
        <v>48</v>
      </c>
      <c r="G26">
        <f t="shared" si="19"/>
        <v>21</v>
      </c>
      <c r="I26" s="2">
        <f t="shared" si="14"/>
        <v>621.69355978630415</v>
      </c>
      <c r="J26">
        <f t="shared" si="0"/>
        <v>25000</v>
      </c>
      <c r="K26">
        <f t="shared" si="1"/>
        <v>3300</v>
      </c>
      <c r="L26" s="3">
        <f t="shared" si="2"/>
        <v>0.80904862499999997</v>
      </c>
      <c r="M26" s="3">
        <f t="shared" si="3"/>
        <v>8.0904862499999997</v>
      </c>
      <c r="N26" s="2">
        <f t="shared" si="4"/>
        <v>349.54355978630417</v>
      </c>
      <c r="Q26" s="1">
        <f t="shared" si="15"/>
        <v>25</v>
      </c>
      <c r="R26">
        <f t="shared" si="16"/>
        <v>25000</v>
      </c>
      <c r="S26">
        <f t="shared" si="20"/>
        <v>290</v>
      </c>
      <c r="T26">
        <f t="shared" si="20"/>
        <v>2.5</v>
      </c>
      <c r="U26">
        <f t="shared" si="20"/>
        <v>1.7</v>
      </c>
      <c r="V26">
        <f t="shared" si="20"/>
        <v>47</v>
      </c>
      <c r="W26">
        <f t="shared" si="20"/>
        <v>22</v>
      </c>
      <c r="Y26" s="2">
        <f t="shared" si="18"/>
        <v>609.47770736400253</v>
      </c>
      <c r="Z26">
        <f t="shared" si="5"/>
        <v>25000</v>
      </c>
      <c r="AA26">
        <f t="shared" si="6"/>
        <v>3300</v>
      </c>
      <c r="AB26" s="3">
        <f t="shared" si="7"/>
        <v>0.80904862499999997</v>
      </c>
      <c r="AC26" s="4">
        <f t="shared" si="8"/>
        <v>8.0904862499999997</v>
      </c>
      <c r="AD26" s="2">
        <f t="shared" si="9"/>
        <v>337.32770736400255</v>
      </c>
      <c r="AE26" s="3">
        <f t="shared" si="10"/>
        <v>25</v>
      </c>
    </row>
    <row r="27" spans="1:31" x14ac:dyDescent="0.3">
      <c r="A27">
        <f t="shared" si="11"/>
        <v>26</v>
      </c>
      <c r="B27">
        <f t="shared" si="12"/>
        <v>26000</v>
      </c>
      <c r="C27">
        <f t="shared" si="19"/>
        <v>290</v>
      </c>
      <c r="D27">
        <f t="shared" si="19"/>
        <v>2.5</v>
      </c>
      <c r="E27">
        <f t="shared" si="19"/>
        <v>1.7</v>
      </c>
      <c r="F27">
        <f t="shared" si="19"/>
        <v>48</v>
      </c>
      <c r="G27">
        <f t="shared" si="19"/>
        <v>21</v>
      </c>
      <c r="I27" s="2">
        <f t="shared" si="14"/>
        <v>630.85400693413624</v>
      </c>
      <c r="J27">
        <f t="shared" si="0"/>
        <v>26000</v>
      </c>
      <c r="K27">
        <f t="shared" si="1"/>
        <v>3300</v>
      </c>
      <c r="L27" s="3">
        <f t="shared" si="2"/>
        <v>0.84141056999999997</v>
      </c>
      <c r="M27" s="3">
        <f t="shared" si="3"/>
        <v>8.4141057000000004</v>
      </c>
      <c r="N27" s="2">
        <f t="shared" si="4"/>
        <v>358.70400693413626</v>
      </c>
      <c r="Q27" s="1">
        <f t="shared" si="15"/>
        <v>26</v>
      </c>
      <c r="R27">
        <f t="shared" si="16"/>
        <v>26000</v>
      </c>
      <c r="S27">
        <f t="shared" si="20"/>
        <v>290</v>
      </c>
      <c r="T27">
        <f t="shared" si="20"/>
        <v>2.5</v>
      </c>
      <c r="U27">
        <f t="shared" si="20"/>
        <v>1.7</v>
      </c>
      <c r="V27">
        <f t="shared" si="20"/>
        <v>47</v>
      </c>
      <c r="W27">
        <f t="shared" si="20"/>
        <v>22</v>
      </c>
      <c r="Y27" s="2">
        <f t="shared" si="18"/>
        <v>618.01213009040362</v>
      </c>
      <c r="Z27">
        <f t="shared" si="5"/>
        <v>26000</v>
      </c>
      <c r="AA27">
        <f t="shared" si="6"/>
        <v>3300</v>
      </c>
      <c r="AB27" s="3">
        <f t="shared" si="7"/>
        <v>0.84141056999999997</v>
      </c>
      <c r="AC27" s="4">
        <f t="shared" si="8"/>
        <v>8.4141057000000004</v>
      </c>
      <c r="AD27" s="2">
        <f t="shared" si="9"/>
        <v>345.86213009040364</v>
      </c>
      <c r="AE27" s="3">
        <f t="shared" si="10"/>
        <v>26</v>
      </c>
    </row>
    <row r="28" spans="1:31" x14ac:dyDescent="0.3">
      <c r="A28">
        <f t="shared" si="11"/>
        <v>27</v>
      </c>
      <c r="B28">
        <f t="shared" si="12"/>
        <v>27000</v>
      </c>
      <c r="C28">
        <f t="shared" si="19"/>
        <v>290</v>
      </c>
      <c r="D28">
        <f t="shared" si="19"/>
        <v>2.5</v>
      </c>
      <c r="E28">
        <f t="shared" si="19"/>
        <v>1.7</v>
      </c>
      <c r="F28">
        <f t="shared" si="19"/>
        <v>48</v>
      </c>
      <c r="G28">
        <f t="shared" si="19"/>
        <v>21</v>
      </c>
      <c r="I28" s="2">
        <f t="shared" si="14"/>
        <v>639.81726037672615</v>
      </c>
      <c r="J28">
        <f t="shared" si="0"/>
        <v>27000</v>
      </c>
      <c r="K28">
        <f t="shared" si="1"/>
        <v>3300</v>
      </c>
      <c r="L28" s="3">
        <f t="shared" si="2"/>
        <v>0.87377251499999997</v>
      </c>
      <c r="M28" s="3">
        <f t="shared" si="3"/>
        <v>8.7377251499999993</v>
      </c>
      <c r="N28" s="2">
        <f t="shared" si="4"/>
        <v>367.66726037672618</v>
      </c>
      <c r="Q28" s="1">
        <f t="shared" si="15"/>
        <v>27</v>
      </c>
      <c r="R28">
        <f t="shared" si="16"/>
        <v>27000</v>
      </c>
      <c r="S28">
        <f t="shared" si="20"/>
        <v>290</v>
      </c>
      <c r="T28">
        <f t="shared" si="20"/>
        <v>2.5</v>
      </c>
      <c r="U28">
        <f t="shared" si="20"/>
        <v>1.7</v>
      </c>
      <c r="V28">
        <f t="shared" si="20"/>
        <v>47</v>
      </c>
      <c r="W28">
        <f t="shared" si="20"/>
        <v>22</v>
      </c>
      <c r="Y28" s="2">
        <f t="shared" si="18"/>
        <v>626.33794692437039</v>
      </c>
      <c r="Z28">
        <f t="shared" si="5"/>
        <v>27000</v>
      </c>
      <c r="AA28">
        <f t="shared" si="6"/>
        <v>3300</v>
      </c>
      <c r="AB28" s="3">
        <f t="shared" si="7"/>
        <v>0.87377251499999997</v>
      </c>
      <c r="AC28" s="4">
        <f t="shared" si="8"/>
        <v>8.7377251499999993</v>
      </c>
      <c r="AD28" s="2">
        <f t="shared" si="9"/>
        <v>354.18794692437041</v>
      </c>
      <c r="AE28" s="3">
        <f t="shared" si="10"/>
        <v>27</v>
      </c>
    </row>
    <row r="29" spans="1:31" x14ac:dyDescent="0.3">
      <c r="A29">
        <f t="shared" si="11"/>
        <v>28</v>
      </c>
      <c r="B29">
        <f t="shared" si="12"/>
        <v>28000</v>
      </c>
      <c r="C29">
        <f t="shared" si="19"/>
        <v>290</v>
      </c>
      <c r="D29">
        <f t="shared" si="19"/>
        <v>2.5</v>
      </c>
      <c r="E29">
        <f t="shared" si="19"/>
        <v>1.7</v>
      </c>
      <c r="F29">
        <f t="shared" si="19"/>
        <v>48</v>
      </c>
      <c r="G29">
        <f t="shared" si="19"/>
        <v>21</v>
      </c>
      <c r="I29" s="2">
        <f t="shared" si="14"/>
        <v>648.59249022185588</v>
      </c>
      <c r="J29">
        <f t="shared" si="0"/>
        <v>28000</v>
      </c>
      <c r="K29">
        <f t="shared" si="1"/>
        <v>3300</v>
      </c>
      <c r="L29" s="3">
        <f t="shared" si="2"/>
        <v>0.90613445999999997</v>
      </c>
      <c r="M29" s="3">
        <f t="shared" si="3"/>
        <v>9.0613446</v>
      </c>
      <c r="N29" s="2">
        <f t="shared" si="4"/>
        <v>376.44249022185591</v>
      </c>
      <c r="Q29" s="1">
        <f t="shared" si="15"/>
        <v>28</v>
      </c>
      <c r="R29">
        <f t="shared" si="16"/>
        <v>28000</v>
      </c>
      <c r="S29">
        <f t="shared" si="20"/>
        <v>290</v>
      </c>
      <c r="T29">
        <f t="shared" si="20"/>
        <v>2.5</v>
      </c>
      <c r="U29">
        <f t="shared" si="20"/>
        <v>1.7</v>
      </c>
      <c r="V29">
        <f t="shared" si="20"/>
        <v>47</v>
      </c>
      <c r="W29">
        <f t="shared" si="20"/>
        <v>22</v>
      </c>
      <c r="Y29" s="2">
        <f t="shared" si="18"/>
        <v>634.46442767837891</v>
      </c>
      <c r="Z29">
        <f t="shared" si="5"/>
        <v>28000</v>
      </c>
      <c r="AA29">
        <f t="shared" si="6"/>
        <v>3300</v>
      </c>
      <c r="AB29" s="3">
        <f t="shared" si="7"/>
        <v>0.90613445999999997</v>
      </c>
      <c r="AC29" s="4">
        <f t="shared" si="8"/>
        <v>9.0613446</v>
      </c>
      <c r="AD29" s="2">
        <f t="shared" si="9"/>
        <v>362.31442767837893</v>
      </c>
      <c r="AE29" s="3">
        <f t="shared" si="10"/>
        <v>28</v>
      </c>
    </row>
    <row r="30" spans="1:31" x14ac:dyDescent="0.3">
      <c r="A30">
        <f t="shared" si="11"/>
        <v>29</v>
      </c>
      <c r="B30">
        <f t="shared" si="12"/>
        <v>29000</v>
      </c>
      <c r="C30">
        <f t="shared" si="19"/>
        <v>290</v>
      </c>
      <c r="D30">
        <f t="shared" si="19"/>
        <v>2.5</v>
      </c>
      <c r="E30">
        <f t="shared" si="19"/>
        <v>1.7</v>
      </c>
      <c r="F30">
        <f t="shared" si="19"/>
        <v>48</v>
      </c>
      <c r="G30">
        <f t="shared" si="19"/>
        <v>21</v>
      </c>
      <c r="I30" s="2">
        <f t="shared" si="14"/>
        <v>657.18844013937007</v>
      </c>
      <c r="J30">
        <f t="shared" si="0"/>
        <v>29000</v>
      </c>
      <c r="K30">
        <f t="shared" si="1"/>
        <v>3300</v>
      </c>
      <c r="L30" s="3">
        <f t="shared" si="2"/>
        <v>0.93849640499999998</v>
      </c>
      <c r="M30" s="3">
        <f t="shared" si="3"/>
        <v>9.3849640500000007</v>
      </c>
      <c r="N30" s="2">
        <f t="shared" si="4"/>
        <v>385.0384401393701</v>
      </c>
      <c r="Q30" s="1">
        <f t="shared" si="15"/>
        <v>29</v>
      </c>
      <c r="R30">
        <f t="shared" si="16"/>
        <v>29000</v>
      </c>
      <c r="S30">
        <f t="shared" si="20"/>
        <v>290</v>
      </c>
      <c r="T30">
        <f t="shared" si="20"/>
        <v>2.5</v>
      </c>
      <c r="U30">
        <f t="shared" si="20"/>
        <v>1.7</v>
      </c>
      <c r="V30">
        <f t="shared" si="20"/>
        <v>47</v>
      </c>
      <c r="W30">
        <f t="shared" si="20"/>
        <v>22</v>
      </c>
      <c r="Y30" s="2">
        <f t="shared" si="18"/>
        <v>642.400430242585</v>
      </c>
      <c r="Z30">
        <f t="shared" si="5"/>
        <v>29000</v>
      </c>
      <c r="AA30">
        <f t="shared" si="6"/>
        <v>3300</v>
      </c>
      <c r="AB30" s="3">
        <f t="shared" si="7"/>
        <v>0.93849640499999998</v>
      </c>
      <c r="AC30" s="4">
        <f t="shared" si="8"/>
        <v>9.3849640500000007</v>
      </c>
      <c r="AD30" s="2">
        <f t="shared" si="9"/>
        <v>370.25043024258503</v>
      </c>
      <c r="AE30" s="3">
        <f t="shared" si="10"/>
        <v>29</v>
      </c>
    </row>
    <row r="31" spans="1:31" x14ac:dyDescent="0.3">
      <c r="A31">
        <f t="shared" si="11"/>
        <v>30</v>
      </c>
      <c r="B31">
        <f t="shared" si="12"/>
        <v>30000</v>
      </c>
      <c r="C31">
        <f t="shared" si="19"/>
        <v>290</v>
      </c>
      <c r="D31">
        <f t="shared" si="19"/>
        <v>2.5</v>
      </c>
      <c r="E31">
        <f t="shared" si="19"/>
        <v>1.7</v>
      </c>
      <c r="F31">
        <f t="shared" si="19"/>
        <v>48</v>
      </c>
      <c r="G31">
        <f t="shared" si="19"/>
        <v>21</v>
      </c>
      <c r="I31" s="2">
        <f t="shared" si="14"/>
        <v>665.61344719184024</v>
      </c>
      <c r="J31">
        <f t="shared" si="0"/>
        <v>30000</v>
      </c>
      <c r="K31">
        <f t="shared" si="1"/>
        <v>3300</v>
      </c>
      <c r="L31" s="3">
        <f t="shared" si="2"/>
        <v>0.97085834999999998</v>
      </c>
      <c r="M31" s="3">
        <f t="shared" si="3"/>
        <v>9.7085834999999996</v>
      </c>
      <c r="N31" s="2">
        <f t="shared" si="4"/>
        <v>393.46344719184026</v>
      </c>
      <c r="Q31" s="1">
        <f t="shared" si="15"/>
        <v>30</v>
      </c>
      <c r="R31">
        <f t="shared" si="16"/>
        <v>30000</v>
      </c>
      <c r="S31">
        <f t="shared" si="20"/>
        <v>290</v>
      </c>
      <c r="T31">
        <f t="shared" si="20"/>
        <v>2.5</v>
      </c>
      <c r="U31">
        <f t="shared" si="20"/>
        <v>1.7</v>
      </c>
      <c r="V31">
        <f t="shared" si="20"/>
        <v>47</v>
      </c>
      <c r="W31">
        <f t="shared" si="20"/>
        <v>22</v>
      </c>
      <c r="Y31" s="2">
        <f t="shared" si="18"/>
        <v>650.1544188894004</v>
      </c>
      <c r="Z31">
        <f t="shared" si="5"/>
        <v>30000</v>
      </c>
      <c r="AA31">
        <f t="shared" si="6"/>
        <v>3300</v>
      </c>
      <c r="AB31" s="3">
        <f t="shared" si="7"/>
        <v>0.97085834999999998</v>
      </c>
      <c r="AC31" s="4">
        <f t="shared" si="8"/>
        <v>9.7085834999999996</v>
      </c>
      <c r="AD31" s="2">
        <f t="shared" si="9"/>
        <v>378.00441888940043</v>
      </c>
      <c r="AE31" s="3">
        <f t="shared" si="10"/>
        <v>30</v>
      </c>
    </row>
    <row r="32" spans="1:31" x14ac:dyDescent="0.3">
      <c r="A32">
        <f t="shared" si="11"/>
        <v>31</v>
      </c>
      <c r="B32">
        <f t="shared" si="12"/>
        <v>31000</v>
      </c>
      <c r="C32">
        <f t="shared" si="19"/>
        <v>290</v>
      </c>
      <c r="D32">
        <f t="shared" si="19"/>
        <v>2.5</v>
      </c>
      <c r="E32">
        <f t="shared" si="19"/>
        <v>1.7</v>
      </c>
      <c r="F32">
        <f t="shared" si="19"/>
        <v>48</v>
      </c>
      <c r="G32">
        <f t="shared" si="19"/>
        <v>21</v>
      </c>
      <c r="I32" s="2">
        <f t="shared" si="14"/>
        <v>673.87546074304032</v>
      </c>
      <c r="J32">
        <f t="shared" si="0"/>
        <v>31000</v>
      </c>
      <c r="K32">
        <f t="shared" si="1"/>
        <v>3300</v>
      </c>
      <c r="L32" s="3">
        <f t="shared" si="2"/>
        <v>1.003220295</v>
      </c>
      <c r="M32" s="3">
        <f t="shared" si="3"/>
        <v>10.03220295</v>
      </c>
      <c r="N32" s="2">
        <f t="shared" si="4"/>
        <v>401.72546074304034</v>
      </c>
      <c r="Q32" s="1">
        <f t="shared" si="15"/>
        <v>31</v>
      </c>
      <c r="R32">
        <f t="shared" si="16"/>
        <v>31000</v>
      </c>
      <c r="S32">
        <f t="shared" si="20"/>
        <v>290</v>
      </c>
      <c r="T32">
        <f t="shared" si="20"/>
        <v>2.5</v>
      </c>
      <c r="U32">
        <f t="shared" si="20"/>
        <v>1.7</v>
      </c>
      <c r="V32">
        <f t="shared" si="20"/>
        <v>47</v>
      </c>
      <c r="W32">
        <f t="shared" si="20"/>
        <v>22</v>
      </c>
      <c r="Y32" s="2">
        <f t="shared" si="18"/>
        <v>657.73448176467082</v>
      </c>
      <c r="Z32">
        <f t="shared" si="5"/>
        <v>31000</v>
      </c>
      <c r="AA32">
        <f t="shared" si="6"/>
        <v>3300</v>
      </c>
      <c r="AB32" s="3">
        <f t="shared" si="7"/>
        <v>1.003220295</v>
      </c>
      <c r="AC32" s="4">
        <f t="shared" si="8"/>
        <v>10.03220295</v>
      </c>
      <c r="AD32" s="2">
        <f t="shared" si="9"/>
        <v>385.58448176467084</v>
      </c>
      <c r="AE32" s="3">
        <f t="shared" si="10"/>
        <v>31</v>
      </c>
    </row>
    <row r="33" spans="1:31" x14ac:dyDescent="0.3">
      <c r="A33">
        <f t="shared" si="11"/>
        <v>32</v>
      </c>
      <c r="B33">
        <f t="shared" si="12"/>
        <v>32000</v>
      </c>
      <c r="C33">
        <f t="shared" si="19"/>
        <v>290</v>
      </c>
      <c r="D33">
        <f t="shared" si="19"/>
        <v>2.5</v>
      </c>
      <c r="E33">
        <f t="shared" si="19"/>
        <v>1.7</v>
      </c>
      <c r="F33">
        <f t="shared" si="19"/>
        <v>48</v>
      </c>
      <c r="G33">
        <f t="shared" si="19"/>
        <v>21</v>
      </c>
      <c r="I33" s="2">
        <f t="shared" si="14"/>
        <v>681.982060487122</v>
      </c>
      <c r="J33">
        <f t="shared" si="0"/>
        <v>32000</v>
      </c>
      <c r="K33">
        <f t="shared" si="1"/>
        <v>3300</v>
      </c>
      <c r="L33" s="3">
        <f t="shared" si="2"/>
        <v>1.0355822400000001</v>
      </c>
      <c r="M33" s="3">
        <f t="shared" si="3"/>
        <v>10.355822400000001</v>
      </c>
      <c r="N33" s="2">
        <f t="shared" si="4"/>
        <v>409.83206048712202</v>
      </c>
      <c r="Q33" s="1">
        <f t="shared" si="15"/>
        <v>32</v>
      </c>
      <c r="R33">
        <f t="shared" si="16"/>
        <v>32000</v>
      </c>
      <c r="S33">
        <f t="shared" si="20"/>
        <v>290</v>
      </c>
      <c r="T33">
        <f t="shared" si="20"/>
        <v>2.5</v>
      </c>
      <c r="U33">
        <f t="shared" si="20"/>
        <v>1.7</v>
      </c>
      <c r="V33">
        <f t="shared" si="20"/>
        <v>47</v>
      </c>
      <c r="W33">
        <f t="shared" si="20"/>
        <v>22</v>
      </c>
      <c r="Y33" s="2">
        <f t="shared" si="18"/>
        <v>665.14834760159863</v>
      </c>
      <c r="Z33">
        <f t="shared" si="5"/>
        <v>32000</v>
      </c>
      <c r="AA33">
        <f t="shared" si="6"/>
        <v>3300</v>
      </c>
      <c r="AB33" s="3">
        <f t="shared" si="7"/>
        <v>1.0355822400000001</v>
      </c>
      <c r="AC33" s="4">
        <f t="shared" si="8"/>
        <v>10.355822400000001</v>
      </c>
      <c r="AD33" s="2">
        <f t="shared" si="9"/>
        <v>392.99834760159865</v>
      </c>
      <c r="AE33" s="3">
        <f t="shared" si="10"/>
        <v>32</v>
      </c>
    </row>
    <row r="34" spans="1:31" x14ac:dyDescent="0.3">
      <c r="A34">
        <f t="shared" si="11"/>
        <v>33</v>
      </c>
      <c r="B34">
        <f t="shared" si="12"/>
        <v>33000</v>
      </c>
      <c r="C34">
        <f t="shared" si="19"/>
        <v>290</v>
      </c>
      <c r="D34">
        <f t="shared" si="19"/>
        <v>2.5</v>
      </c>
      <c r="E34">
        <f t="shared" si="19"/>
        <v>1.7</v>
      </c>
      <c r="F34">
        <f t="shared" si="19"/>
        <v>48</v>
      </c>
      <c r="G34">
        <f t="shared" si="19"/>
        <v>21</v>
      </c>
      <c r="I34" s="2">
        <f t="shared" si="14"/>
        <v>689.94047363937693</v>
      </c>
      <c r="J34">
        <f t="shared" si="0"/>
        <v>33000</v>
      </c>
      <c r="K34">
        <f t="shared" si="1"/>
        <v>3300</v>
      </c>
      <c r="L34" s="3">
        <f t="shared" si="2"/>
        <v>1.067944185</v>
      </c>
      <c r="M34" s="3">
        <f t="shared" si="3"/>
        <v>10.67944185</v>
      </c>
      <c r="N34" s="2">
        <f t="shared" si="4"/>
        <v>417.79047363937696</v>
      </c>
      <c r="Q34" s="1">
        <f t="shared" si="15"/>
        <v>33</v>
      </c>
      <c r="R34">
        <f t="shared" si="16"/>
        <v>33000</v>
      </c>
      <c r="S34">
        <f t="shared" si="20"/>
        <v>290</v>
      </c>
      <c r="T34">
        <f t="shared" si="20"/>
        <v>2.5</v>
      </c>
      <c r="U34">
        <f t="shared" si="20"/>
        <v>1.7</v>
      </c>
      <c r="V34">
        <f t="shared" si="20"/>
        <v>47</v>
      </c>
      <c r="W34">
        <f t="shared" si="20"/>
        <v>22</v>
      </c>
      <c r="Y34" s="2">
        <f t="shared" si="18"/>
        <v>672.40340169194883</v>
      </c>
      <c r="Z34">
        <f t="shared" si="5"/>
        <v>33000</v>
      </c>
      <c r="AA34">
        <f t="shared" si="6"/>
        <v>3300</v>
      </c>
      <c r="AB34" s="3">
        <f t="shared" si="7"/>
        <v>1.067944185</v>
      </c>
      <c r="AC34" s="4">
        <f t="shared" si="8"/>
        <v>10.67944185</v>
      </c>
      <c r="AD34" s="2">
        <f t="shared" si="9"/>
        <v>400.25340169194885</v>
      </c>
      <c r="AE34" s="3">
        <f t="shared" si="10"/>
        <v>33</v>
      </c>
    </row>
    <row r="35" spans="1:31" x14ac:dyDescent="0.3">
      <c r="A35">
        <f t="shared" si="11"/>
        <v>34</v>
      </c>
      <c r="B35">
        <f t="shared" si="12"/>
        <v>34000</v>
      </c>
      <c r="C35">
        <f t="shared" si="19"/>
        <v>290</v>
      </c>
      <c r="D35">
        <f t="shared" si="19"/>
        <v>2.5</v>
      </c>
      <c r="E35">
        <f t="shared" si="19"/>
        <v>1.7</v>
      </c>
      <c r="F35">
        <f t="shared" si="19"/>
        <v>48</v>
      </c>
      <c r="G35">
        <f t="shared" si="19"/>
        <v>21</v>
      </c>
      <c r="I35" s="2">
        <f t="shared" si="14"/>
        <v>697.75759132757798</v>
      </c>
      <c r="J35">
        <f t="shared" si="0"/>
        <v>34000</v>
      </c>
      <c r="K35">
        <f t="shared" si="1"/>
        <v>3300</v>
      </c>
      <c r="L35" s="3">
        <f t="shared" si="2"/>
        <v>1.1003061300000001</v>
      </c>
      <c r="M35" s="3">
        <f t="shared" si="3"/>
        <v>11.003061300000001</v>
      </c>
      <c r="N35" s="2">
        <f t="shared" si="4"/>
        <v>425.60759132757801</v>
      </c>
      <c r="Q35" s="1">
        <f t="shared" si="15"/>
        <v>34</v>
      </c>
      <c r="R35">
        <f t="shared" si="16"/>
        <v>34000</v>
      </c>
      <c r="S35">
        <f t="shared" si="20"/>
        <v>290</v>
      </c>
      <c r="T35">
        <f t="shared" si="20"/>
        <v>2.5</v>
      </c>
      <c r="U35">
        <f t="shared" si="20"/>
        <v>1.7</v>
      </c>
      <c r="V35">
        <f t="shared" si="20"/>
        <v>47</v>
      </c>
      <c r="W35">
        <f t="shared" si="20"/>
        <v>22</v>
      </c>
      <c r="Y35" s="2">
        <f t="shared" si="18"/>
        <v>679.50670114754428</v>
      </c>
      <c r="Z35">
        <f t="shared" si="5"/>
        <v>34000</v>
      </c>
      <c r="AA35">
        <f t="shared" si="6"/>
        <v>3300</v>
      </c>
      <c r="AB35" s="3">
        <f t="shared" si="7"/>
        <v>1.1003061300000001</v>
      </c>
      <c r="AC35" s="4">
        <f t="shared" si="8"/>
        <v>11.003061300000001</v>
      </c>
      <c r="AD35" s="2">
        <f t="shared" si="9"/>
        <v>407.3567011475443</v>
      </c>
      <c r="AE35" s="3">
        <f t="shared" si="10"/>
        <v>34</v>
      </c>
    </row>
    <row r="36" spans="1:31" x14ac:dyDescent="0.3">
      <c r="A36">
        <f t="shared" si="11"/>
        <v>35</v>
      </c>
      <c r="B36">
        <f t="shared" si="12"/>
        <v>35000</v>
      </c>
      <c r="C36">
        <f t="shared" ref="C36:G51" si="21">C35</f>
        <v>290</v>
      </c>
      <c r="D36">
        <f t="shared" si="21"/>
        <v>2.5</v>
      </c>
      <c r="E36">
        <f t="shared" si="21"/>
        <v>1.7</v>
      </c>
      <c r="F36">
        <f t="shared" si="21"/>
        <v>48</v>
      </c>
      <c r="G36">
        <f t="shared" si="21"/>
        <v>21</v>
      </c>
      <c r="I36" s="2">
        <f t="shared" si="14"/>
        <v>705.43998422107188</v>
      </c>
      <c r="J36">
        <f t="shared" si="0"/>
        <v>35000</v>
      </c>
      <c r="K36">
        <f t="shared" si="1"/>
        <v>3300</v>
      </c>
      <c r="L36" s="3">
        <f t="shared" si="2"/>
        <v>1.132668075</v>
      </c>
      <c r="M36" s="3">
        <f t="shared" si="3"/>
        <v>11.32668075</v>
      </c>
      <c r="N36" s="2">
        <f t="shared" si="4"/>
        <v>433.2899842210719</v>
      </c>
      <c r="Q36" s="1">
        <f t="shared" si="15"/>
        <v>35</v>
      </c>
      <c r="R36">
        <f t="shared" si="16"/>
        <v>35000</v>
      </c>
      <c r="S36">
        <f t="shared" ref="S36:W51" si="22">S35</f>
        <v>290</v>
      </c>
      <c r="T36">
        <f t="shared" si="22"/>
        <v>2.5</v>
      </c>
      <c r="U36">
        <f t="shared" si="22"/>
        <v>1.7</v>
      </c>
      <c r="V36">
        <f t="shared" si="22"/>
        <v>47</v>
      </c>
      <c r="W36">
        <f t="shared" si="22"/>
        <v>22</v>
      </c>
      <c r="Y36" s="2">
        <f t="shared" si="18"/>
        <v>686.46498948358567</v>
      </c>
      <c r="Z36">
        <f t="shared" si="5"/>
        <v>35000</v>
      </c>
      <c r="AA36">
        <f t="shared" si="6"/>
        <v>3300</v>
      </c>
      <c r="AB36" s="3">
        <f t="shared" si="7"/>
        <v>1.132668075</v>
      </c>
      <c r="AC36" s="4">
        <f t="shared" si="8"/>
        <v>11.32668075</v>
      </c>
      <c r="AD36" s="2">
        <f t="shared" si="9"/>
        <v>414.31498948358569</v>
      </c>
      <c r="AE36" s="3">
        <f t="shared" si="10"/>
        <v>35</v>
      </c>
    </row>
    <row r="37" spans="1:31" x14ac:dyDescent="0.3">
      <c r="A37">
        <f t="shared" si="11"/>
        <v>36</v>
      </c>
      <c r="B37">
        <f t="shared" si="12"/>
        <v>36000</v>
      </c>
      <c r="C37">
        <f t="shared" si="21"/>
        <v>290</v>
      </c>
      <c r="D37">
        <f t="shared" si="21"/>
        <v>2.5</v>
      </c>
      <c r="E37">
        <f t="shared" si="21"/>
        <v>1.7</v>
      </c>
      <c r="F37">
        <f t="shared" si="21"/>
        <v>48</v>
      </c>
      <c r="G37">
        <f t="shared" si="21"/>
        <v>21</v>
      </c>
      <c r="I37" s="2">
        <f t="shared" si="14"/>
        <v>712.99391743307206</v>
      </c>
      <c r="J37">
        <f t="shared" si="0"/>
        <v>36000</v>
      </c>
      <c r="K37">
        <f t="shared" si="1"/>
        <v>3300</v>
      </c>
      <c r="L37" s="3">
        <f t="shared" si="2"/>
        <v>1.1650300200000001</v>
      </c>
      <c r="M37" s="3">
        <f t="shared" si="3"/>
        <v>11.6503002</v>
      </c>
      <c r="N37" s="2">
        <f t="shared" si="4"/>
        <v>440.84391743307208</v>
      </c>
      <c r="Q37" s="1">
        <f t="shared" si="15"/>
        <v>36</v>
      </c>
      <c r="R37">
        <f t="shared" si="16"/>
        <v>36000</v>
      </c>
      <c r="S37">
        <f t="shared" si="22"/>
        <v>290</v>
      </c>
      <c r="T37">
        <f t="shared" si="22"/>
        <v>2.5</v>
      </c>
      <c r="U37">
        <f t="shared" si="22"/>
        <v>1.7</v>
      </c>
      <c r="V37">
        <f t="shared" si="22"/>
        <v>47</v>
      </c>
      <c r="W37">
        <f t="shared" si="22"/>
        <v>22</v>
      </c>
      <c r="Y37" s="2">
        <f t="shared" si="18"/>
        <v>693.28471055393334</v>
      </c>
      <c r="Z37">
        <f t="shared" si="5"/>
        <v>36000</v>
      </c>
      <c r="AA37">
        <f t="shared" si="6"/>
        <v>3300</v>
      </c>
      <c r="AB37" s="3">
        <f t="shared" si="7"/>
        <v>1.1650300200000001</v>
      </c>
      <c r="AC37" s="4">
        <f t="shared" si="8"/>
        <v>11.6503002</v>
      </c>
      <c r="AD37" s="2">
        <f t="shared" si="9"/>
        <v>421.13471055393336</v>
      </c>
      <c r="AE37" s="3">
        <f t="shared" si="10"/>
        <v>36</v>
      </c>
    </row>
    <row r="38" spans="1:31" x14ac:dyDescent="0.3">
      <c r="A38">
        <f t="shared" si="11"/>
        <v>37</v>
      </c>
      <c r="B38">
        <f t="shared" si="12"/>
        <v>37000</v>
      </c>
      <c r="C38">
        <f t="shared" si="21"/>
        <v>290</v>
      </c>
      <c r="D38">
        <f t="shared" si="21"/>
        <v>2.5</v>
      </c>
      <c r="E38">
        <f t="shared" si="21"/>
        <v>1.7</v>
      </c>
      <c r="F38">
        <f t="shared" si="21"/>
        <v>48</v>
      </c>
      <c r="G38">
        <f t="shared" si="21"/>
        <v>21</v>
      </c>
      <c r="I38" s="2">
        <f t="shared" si="14"/>
        <v>720.4253647299488</v>
      </c>
      <c r="J38">
        <f t="shared" si="0"/>
        <v>37000</v>
      </c>
      <c r="K38">
        <f t="shared" si="1"/>
        <v>3300</v>
      </c>
      <c r="L38" s="3">
        <f t="shared" si="2"/>
        <v>1.197391965</v>
      </c>
      <c r="M38" s="3">
        <f t="shared" si="3"/>
        <v>11.973919649999999</v>
      </c>
      <c r="N38" s="2">
        <f t="shared" si="4"/>
        <v>448.27536472994882</v>
      </c>
      <c r="Q38" s="1">
        <f t="shared" si="15"/>
        <v>37</v>
      </c>
      <c r="R38">
        <f t="shared" si="16"/>
        <v>37000</v>
      </c>
      <c r="S38">
        <f t="shared" si="22"/>
        <v>290</v>
      </c>
      <c r="T38">
        <f t="shared" si="22"/>
        <v>2.5</v>
      </c>
      <c r="U38">
        <f t="shared" si="22"/>
        <v>1.7</v>
      </c>
      <c r="V38">
        <f t="shared" si="22"/>
        <v>47</v>
      </c>
      <c r="W38">
        <f t="shared" si="22"/>
        <v>22</v>
      </c>
      <c r="Y38" s="2">
        <f t="shared" si="18"/>
        <v>699.97202186714742</v>
      </c>
      <c r="Z38">
        <f t="shared" si="5"/>
        <v>37000</v>
      </c>
      <c r="AA38">
        <f t="shared" si="6"/>
        <v>3300</v>
      </c>
      <c r="AB38" s="3">
        <f t="shared" si="7"/>
        <v>1.197391965</v>
      </c>
      <c r="AC38" s="4">
        <f t="shared" si="8"/>
        <v>11.973919649999999</v>
      </c>
      <c r="AD38" s="2">
        <f t="shared" si="9"/>
        <v>427.82202186714744</v>
      </c>
      <c r="AE38" s="3">
        <f t="shared" si="10"/>
        <v>37</v>
      </c>
    </row>
    <row r="39" spans="1:31" x14ac:dyDescent="0.3">
      <c r="A39">
        <f t="shared" si="11"/>
        <v>38</v>
      </c>
      <c r="B39">
        <f t="shared" si="12"/>
        <v>38000</v>
      </c>
      <c r="C39">
        <f t="shared" si="21"/>
        <v>290</v>
      </c>
      <c r="D39">
        <f t="shared" si="21"/>
        <v>2.5</v>
      </c>
      <c r="E39">
        <f t="shared" si="21"/>
        <v>1.7</v>
      </c>
      <c r="F39">
        <f t="shared" si="21"/>
        <v>48</v>
      </c>
      <c r="G39">
        <f t="shared" si="21"/>
        <v>21</v>
      </c>
      <c r="I39" s="2">
        <f t="shared" si="14"/>
        <v>727.74002207974581</v>
      </c>
      <c r="J39">
        <f t="shared" si="0"/>
        <v>38000</v>
      </c>
      <c r="K39">
        <f t="shared" si="1"/>
        <v>3300</v>
      </c>
      <c r="L39" s="3">
        <f t="shared" si="2"/>
        <v>1.2297539099999999</v>
      </c>
      <c r="M39" s="3">
        <f t="shared" si="3"/>
        <v>12.297539099999998</v>
      </c>
      <c r="N39" s="2">
        <f t="shared" si="4"/>
        <v>455.59002207974584</v>
      </c>
      <c r="Q39" s="1">
        <f t="shared" si="15"/>
        <v>38</v>
      </c>
      <c r="R39">
        <f t="shared" si="16"/>
        <v>38000</v>
      </c>
      <c r="S39">
        <f t="shared" si="22"/>
        <v>290</v>
      </c>
      <c r="T39">
        <f t="shared" si="22"/>
        <v>2.5</v>
      </c>
      <c r="U39">
        <f t="shared" si="22"/>
        <v>1.7</v>
      </c>
      <c r="V39">
        <f t="shared" si="22"/>
        <v>47</v>
      </c>
      <c r="W39">
        <f t="shared" si="22"/>
        <v>22</v>
      </c>
      <c r="Y39" s="2">
        <f t="shared" si="18"/>
        <v>706.53280731080326</v>
      </c>
      <c r="Z39">
        <f t="shared" si="5"/>
        <v>38000</v>
      </c>
      <c r="AA39">
        <f t="shared" si="6"/>
        <v>3300</v>
      </c>
      <c r="AB39" s="3">
        <f t="shared" si="7"/>
        <v>1.2297539099999999</v>
      </c>
      <c r="AC39" s="4">
        <f t="shared" si="8"/>
        <v>12.297539099999998</v>
      </c>
      <c r="AD39" s="2">
        <f t="shared" si="9"/>
        <v>434.38280731080329</v>
      </c>
      <c r="AE39" s="3">
        <f t="shared" si="10"/>
        <v>38</v>
      </c>
    </row>
    <row r="40" spans="1:31" x14ac:dyDescent="0.3">
      <c r="A40">
        <f t="shared" si="11"/>
        <v>39</v>
      </c>
      <c r="B40">
        <f t="shared" si="12"/>
        <v>39000</v>
      </c>
      <c r="C40">
        <f t="shared" si="21"/>
        <v>290</v>
      </c>
      <c r="D40">
        <f t="shared" si="21"/>
        <v>2.5</v>
      </c>
      <c r="E40">
        <f t="shared" si="21"/>
        <v>1.7</v>
      </c>
      <c r="F40">
        <f t="shared" si="21"/>
        <v>48</v>
      </c>
      <c r="G40">
        <f t="shared" si="21"/>
        <v>21</v>
      </c>
      <c r="I40" s="2">
        <f t="shared" si="14"/>
        <v>734.94332057064651</v>
      </c>
      <c r="J40">
        <f t="shared" si="0"/>
        <v>39000</v>
      </c>
      <c r="K40">
        <f t="shared" si="1"/>
        <v>3300</v>
      </c>
      <c r="L40" s="3">
        <f t="shared" si="2"/>
        <v>1.262115855</v>
      </c>
      <c r="M40" s="3">
        <f t="shared" si="3"/>
        <v>12.621158550000001</v>
      </c>
      <c r="N40" s="2">
        <f t="shared" si="4"/>
        <v>462.79332057064653</v>
      </c>
      <c r="Q40" s="1">
        <f t="shared" si="15"/>
        <v>39</v>
      </c>
      <c r="R40">
        <f t="shared" si="16"/>
        <v>39000</v>
      </c>
      <c r="S40">
        <f t="shared" si="22"/>
        <v>290</v>
      </c>
      <c r="T40">
        <f t="shared" si="22"/>
        <v>2.5</v>
      </c>
      <c r="U40">
        <f t="shared" si="22"/>
        <v>1.7</v>
      </c>
      <c r="V40">
        <f t="shared" si="22"/>
        <v>47</v>
      </c>
      <c r="W40">
        <f t="shared" si="22"/>
        <v>22</v>
      </c>
      <c r="Y40" s="2">
        <f t="shared" si="18"/>
        <v>712.97268931037775</v>
      </c>
      <c r="Z40">
        <f t="shared" si="5"/>
        <v>39000</v>
      </c>
      <c r="AA40">
        <f t="shared" si="6"/>
        <v>3300</v>
      </c>
      <c r="AB40" s="3">
        <f t="shared" si="7"/>
        <v>1.262115855</v>
      </c>
      <c r="AC40" s="4">
        <f t="shared" si="8"/>
        <v>12.621158550000001</v>
      </c>
      <c r="AD40" s="2">
        <f t="shared" si="9"/>
        <v>440.82268931037777</v>
      </c>
      <c r="AE40" s="3">
        <f t="shared" si="10"/>
        <v>39</v>
      </c>
    </row>
    <row r="41" spans="1:31" x14ac:dyDescent="0.3">
      <c r="A41">
        <f t="shared" si="11"/>
        <v>40</v>
      </c>
      <c r="B41">
        <f t="shared" si="12"/>
        <v>40000</v>
      </c>
      <c r="C41">
        <f t="shared" si="21"/>
        <v>290</v>
      </c>
      <c r="D41">
        <f t="shared" si="21"/>
        <v>2.5</v>
      </c>
      <c r="E41">
        <f t="shared" si="21"/>
        <v>1.7</v>
      </c>
      <c r="F41">
        <f t="shared" si="21"/>
        <v>48</v>
      </c>
      <c r="G41">
        <f t="shared" si="21"/>
        <v>21</v>
      </c>
      <c r="I41" s="2">
        <f t="shared" si="14"/>
        <v>742.04043872869647</v>
      </c>
      <c r="J41">
        <f t="shared" si="0"/>
        <v>40000</v>
      </c>
      <c r="K41">
        <f t="shared" si="1"/>
        <v>3300</v>
      </c>
      <c r="L41" s="3">
        <f t="shared" si="2"/>
        <v>1.2944777999999999</v>
      </c>
      <c r="M41" s="3">
        <f t="shared" si="3"/>
        <v>12.944777999999999</v>
      </c>
      <c r="N41" s="2">
        <f t="shared" si="4"/>
        <v>469.89043872869649</v>
      </c>
      <c r="Q41" s="1">
        <f t="shared" si="15"/>
        <v>40</v>
      </c>
      <c r="R41">
        <f t="shared" si="16"/>
        <v>40000</v>
      </c>
      <c r="S41">
        <f t="shared" si="22"/>
        <v>290</v>
      </c>
      <c r="T41">
        <f t="shared" si="22"/>
        <v>2.5</v>
      </c>
      <c r="U41">
        <f t="shared" si="22"/>
        <v>1.7</v>
      </c>
      <c r="V41">
        <f t="shared" si="22"/>
        <v>47</v>
      </c>
      <c r="W41">
        <f t="shared" si="22"/>
        <v>22</v>
      </c>
      <c r="Y41" s="2">
        <f t="shared" si="18"/>
        <v>719.29704044783011</v>
      </c>
      <c r="Z41">
        <f t="shared" si="5"/>
        <v>40000</v>
      </c>
      <c r="AA41">
        <f t="shared" si="6"/>
        <v>3300</v>
      </c>
      <c r="AB41" s="3">
        <f t="shared" si="7"/>
        <v>1.2944777999999999</v>
      </c>
      <c r="AC41" s="4">
        <f t="shared" si="8"/>
        <v>12.944777999999999</v>
      </c>
      <c r="AD41" s="2">
        <f t="shared" si="9"/>
        <v>447.14704044783014</v>
      </c>
      <c r="AE41" s="3">
        <f t="shared" si="10"/>
        <v>40</v>
      </c>
    </row>
    <row r="42" spans="1:31" x14ac:dyDescent="0.3">
      <c r="A42">
        <f t="shared" si="11"/>
        <v>41</v>
      </c>
      <c r="B42">
        <f t="shared" si="12"/>
        <v>41000</v>
      </c>
      <c r="C42">
        <f t="shared" si="21"/>
        <v>290</v>
      </c>
      <c r="D42">
        <f t="shared" si="21"/>
        <v>2.5</v>
      </c>
      <c r="E42">
        <f t="shared" si="21"/>
        <v>1.7</v>
      </c>
      <c r="F42">
        <f t="shared" si="21"/>
        <v>48</v>
      </c>
      <c r="G42">
        <f t="shared" si="21"/>
        <v>21</v>
      </c>
      <c r="I42" s="2">
        <f t="shared" si="14"/>
        <v>749.03631426270954</v>
      </c>
      <c r="J42">
        <f t="shared" si="0"/>
        <v>41000</v>
      </c>
      <c r="K42">
        <f t="shared" si="1"/>
        <v>3300</v>
      </c>
      <c r="L42" s="3">
        <f t="shared" si="2"/>
        <v>1.326839745</v>
      </c>
      <c r="M42" s="3">
        <f t="shared" si="3"/>
        <v>13.26839745</v>
      </c>
      <c r="N42" s="2">
        <f t="shared" si="4"/>
        <v>476.88631426270956</v>
      </c>
      <c r="Q42" s="1">
        <f t="shared" si="15"/>
        <v>41</v>
      </c>
      <c r="R42">
        <f t="shared" si="16"/>
        <v>41000</v>
      </c>
      <c r="S42">
        <f t="shared" si="22"/>
        <v>290</v>
      </c>
      <c r="T42">
        <f t="shared" si="22"/>
        <v>2.5</v>
      </c>
      <c r="U42">
        <f t="shared" si="22"/>
        <v>1.7</v>
      </c>
      <c r="V42">
        <f t="shared" si="22"/>
        <v>47</v>
      </c>
      <c r="W42">
        <f t="shared" si="22"/>
        <v>22</v>
      </c>
      <c r="Y42" s="2">
        <f t="shared" si="18"/>
        <v>725.51099456389102</v>
      </c>
      <c r="Z42">
        <f t="shared" si="5"/>
        <v>41000</v>
      </c>
      <c r="AA42">
        <f t="shared" si="6"/>
        <v>3300</v>
      </c>
      <c r="AB42" s="3">
        <f t="shared" si="7"/>
        <v>1.326839745</v>
      </c>
      <c r="AC42" s="4">
        <f t="shared" si="8"/>
        <v>13.26839745</v>
      </c>
      <c r="AD42" s="2">
        <f t="shared" si="9"/>
        <v>453.36099456389104</v>
      </c>
      <c r="AE42" s="3">
        <f t="shared" si="10"/>
        <v>41</v>
      </c>
    </row>
    <row r="43" spans="1:31" x14ac:dyDescent="0.3">
      <c r="A43">
        <f t="shared" si="11"/>
        <v>42</v>
      </c>
      <c r="B43">
        <f t="shared" si="12"/>
        <v>42000</v>
      </c>
      <c r="C43">
        <f t="shared" si="21"/>
        <v>290</v>
      </c>
      <c r="D43">
        <f t="shared" si="21"/>
        <v>2.5</v>
      </c>
      <c r="E43">
        <f t="shared" si="21"/>
        <v>1.7</v>
      </c>
      <c r="F43">
        <f t="shared" si="21"/>
        <v>48</v>
      </c>
      <c r="G43">
        <f t="shared" si="21"/>
        <v>21</v>
      </c>
      <c r="I43" s="2">
        <f t="shared" si="14"/>
        <v>755.93565526300472</v>
      </c>
      <c r="J43">
        <f t="shared" si="0"/>
        <v>42000</v>
      </c>
      <c r="K43">
        <f t="shared" si="1"/>
        <v>3300</v>
      </c>
      <c r="L43" s="3">
        <f t="shared" si="2"/>
        <v>1.3592016899999999</v>
      </c>
      <c r="M43" s="3">
        <f t="shared" si="3"/>
        <v>13.592016899999999</v>
      </c>
      <c r="N43" s="2">
        <f t="shared" si="4"/>
        <v>483.78565526300474</v>
      </c>
      <c r="Q43" s="1">
        <f t="shared" si="15"/>
        <v>42</v>
      </c>
      <c r="R43">
        <f t="shared" si="16"/>
        <v>42000</v>
      </c>
      <c r="S43">
        <f t="shared" si="22"/>
        <v>290</v>
      </c>
      <c r="T43">
        <f t="shared" si="22"/>
        <v>2.5</v>
      </c>
      <c r="U43">
        <f t="shared" si="22"/>
        <v>1.7</v>
      </c>
      <c r="V43">
        <f t="shared" si="22"/>
        <v>47</v>
      </c>
      <c r="W43">
        <f t="shared" si="22"/>
        <v>22</v>
      </c>
      <c r="Y43" s="2">
        <f t="shared" si="18"/>
        <v>731.61945736699522</v>
      </c>
      <c r="Z43">
        <f t="shared" si="5"/>
        <v>42000</v>
      </c>
      <c r="AA43">
        <f t="shared" si="6"/>
        <v>3300</v>
      </c>
      <c r="AB43" s="3">
        <f t="shared" si="7"/>
        <v>1.3592016899999999</v>
      </c>
      <c r="AC43" s="4">
        <f t="shared" si="8"/>
        <v>13.592016899999999</v>
      </c>
      <c r="AD43" s="2">
        <f t="shared" si="9"/>
        <v>459.46945736699524</v>
      </c>
      <c r="AE43" s="3">
        <f t="shared" si="10"/>
        <v>42</v>
      </c>
    </row>
    <row r="44" spans="1:31" x14ac:dyDescent="0.3">
      <c r="A44">
        <f t="shared" si="11"/>
        <v>43</v>
      </c>
      <c r="B44">
        <f t="shared" si="12"/>
        <v>43000</v>
      </c>
      <c r="C44">
        <f t="shared" si="21"/>
        <v>290</v>
      </c>
      <c r="D44">
        <f t="shared" si="21"/>
        <v>2.5</v>
      </c>
      <c r="E44">
        <f t="shared" si="21"/>
        <v>1.7</v>
      </c>
      <c r="F44">
        <f t="shared" si="21"/>
        <v>48</v>
      </c>
      <c r="G44">
        <f t="shared" si="21"/>
        <v>21</v>
      </c>
      <c r="I44" s="2">
        <f t="shared" si="14"/>
        <v>762.74295087936275</v>
      </c>
      <c r="J44">
        <f t="shared" si="0"/>
        <v>43000</v>
      </c>
      <c r="K44">
        <f t="shared" si="1"/>
        <v>3300</v>
      </c>
      <c r="L44" s="3">
        <f t="shared" si="2"/>
        <v>1.391563635</v>
      </c>
      <c r="M44" s="3">
        <f t="shared" si="3"/>
        <v>13.91563635</v>
      </c>
      <c r="N44" s="2">
        <f t="shared" si="4"/>
        <v>490.59295087936277</v>
      </c>
      <c r="Q44" s="1">
        <f t="shared" si="15"/>
        <v>43</v>
      </c>
      <c r="R44">
        <f t="shared" si="16"/>
        <v>43000</v>
      </c>
      <c r="S44">
        <f t="shared" si="22"/>
        <v>290</v>
      </c>
      <c r="T44">
        <f t="shared" si="22"/>
        <v>2.5</v>
      </c>
      <c r="U44">
        <f t="shared" si="22"/>
        <v>1.7</v>
      </c>
      <c r="V44">
        <f t="shared" si="22"/>
        <v>47</v>
      </c>
      <c r="W44">
        <f t="shared" si="22"/>
        <v>22</v>
      </c>
      <c r="Y44" s="2">
        <f t="shared" si="18"/>
        <v>737.62711657079171</v>
      </c>
      <c r="Z44">
        <f t="shared" si="5"/>
        <v>43000</v>
      </c>
      <c r="AA44">
        <f t="shared" si="6"/>
        <v>3300</v>
      </c>
      <c r="AB44" s="3">
        <f t="shared" si="7"/>
        <v>1.391563635</v>
      </c>
      <c r="AC44" s="4">
        <f t="shared" si="8"/>
        <v>13.91563635</v>
      </c>
      <c r="AD44" s="2">
        <f t="shared" si="9"/>
        <v>465.47711657079174</v>
      </c>
      <c r="AE44" s="3">
        <f t="shared" si="10"/>
        <v>43</v>
      </c>
    </row>
    <row r="45" spans="1:31" x14ac:dyDescent="0.3">
      <c r="A45">
        <f t="shared" si="11"/>
        <v>44</v>
      </c>
      <c r="B45">
        <f t="shared" si="12"/>
        <v>44000</v>
      </c>
      <c r="C45">
        <f t="shared" si="21"/>
        <v>290</v>
      </c>
      <c r="D45">
        <f t="shared" si="21"/>
        <v>2.5</v>
      </c>
      <c r="E45">
        <f t="shared" si="21"/>
        <v>1.7</v>
      </c>
      <c r="F45">
        <f t="shared" si="21"/>
        <v>48</v>
      </c>
      <c r="G45">
        <f t="shared" si="21"/>
        <v>21</v>
      </c>
      <c r="I45" s="2">
        <f t="shared" si="14"/>
        <v>769.46248150243082</v>
      </c>
      <c r="J45">
        <f t="shared" si="0"/>
        <v>44000</v>
      </c>
      <c r="K45">
        <f t="shared" si="1"/>
        <v>3300</v>
      </c>
      <c r="L45" s="3">
        <f t="shared" si="2"/>
        <v>1.4239255799999999</v>
      </c>
      <c r="M45" s="3">
        <f t="shared" si="3"/>
        <v>14.239255799999999</v>
      </c>
      <c r="N45" s="2">
        <f t="shared" si="4"/>
        <v>497.31248150243084</v>
      </c>
      <c r="Q45" s="1">
        <f t="shared" si="15"/>
        <v>44</v>
      </c>
      <c r="R45">
        <f t="shared" si="16"/>
        <v>44000</v>
      </c>
      <c r="S45">
        <f t="shared" si="22"/>
        <v>290</v>
      </c>
      <c r="T45">
        <f t="shared" si="22"/>
        <v>2.5</v>
      </c>
      <c r="U45">
        <f t="shared" si="22"/>
        <v>1.7</v>
      </c>
      <c r="V45">
        <f t="shared" si="22"/>
        <v>47</v>
      </c>
      <c r="W45">
        <f t="shared" si="22"/>
        <v>22</v>
      </c>
      <c r="Y45" s="2">
        <f t="shared" si="18"/>
        <v>743.5384515811661</v>
      </c>
      <c r="Z45">
        <f t="shared" si="5"/>
        <v>44000</v>
      </c>
      <c r="AA45">
        <f t="shared" si="6"/>
        <v>3300</v>
      </c>
      <c r="AB45" s="3">
        <f t="shared" si="7"/>
        <v>1.4239255799999999</v>
      </c>
      <c r="AC45" s="4">
        <f t="shared" si="8"/>
        <v>14.239255799999999</v>
      </c>
      <c r="AD45" s="2">
        <f t="shared" si="9"/>
        <v>471.38845158116612</v>
      </c>
      <c r="AE45" s="3">
        <f t="shared" si="10"/>
        <v>44</v>
      </c>
    </row>
    <row r="46" spans="1:31" x14ac:dyDescent="0.3">
      <c r="A46">
        <f t="shared" si="11"/>
        <v>45</v>
      </c>
      <c r="B46">
        <f t="shared" si="12"/>
        <v>45000</v>
      </c>
      <c r="C46">
        <f t="shared" si="21"/>
        <v>290</v>
      </c>
      <c r="D46">
        <f t="shared" si="21"/>
        <v>2.5</v>
      </c>
      <c r="E46">
        <f t="shared" si="21"/>
        <v>1.7</v>
      </c>
      <c r="F46">
        <f t="shared" si="21"/>
        <v>48</v>
      </c>
      <c r="G46">
        <f t="shared" si="21"/>
        <v>21</v>
      </c>
      <c r="I46" s="2">
        <f t="shared" si="14"/>
        <v>776.09832847165603</v>
      </c>
      <c r="J46">
        <f t="shared" si="0"/>
        <v>45000</v>
      </c>
      <c r="K46">
        <f t="shared" si="1"/>
        <v>3300</v>
      </c>
      <c r="L46" s="3">
        <f t="shared" si="2"/>
        <v>1.456287525</v>
      </c>
      <c r="M46" s="3">
        <f t="shared" si="3"/>
        <v>14.562875250000001</v>
      </c>
      <c r="N46" s="2">
        <f t="shared" si="4"/>
        <v>503.94832847165605</v>
      </c>
      <c r="Q46" s="1">
        <f t="shared" si="15"/>
        <v>45</v>
      </c>
      <c r="R46">
        <f t="shared" si="16"/>
        <v>45000</v>
      </c>
      <c r="S46">
        <f t="shared" si="22"/>
        <v>290</v>
      </c>
      <c r="T46">
        <f t="shared" si="22"/>
        <v>2.5</v>
      </c>
      <c r="U46">
        <f t="shared" si="22"/>
        <v>1.7</v>
      </c>
      <c r="V46">
        <f t="shared" si="22"/>
        <v>47</v>
      </c>
      <c r="W46">
        <f t="shared" si="22"/>
        <v>22</v>
      </c>
      <c r="Y46" s="2">
        <f t="shared" si="18"/>
        <v>749.35774275280824</v>
      </c>
      <c r="Z46">
        <f t="shared" si="5"/>
        <v>45000</v>
      </c>
      <c r="AA46">
        <f t="shared" si="6"/>
        <v>3300</v>
      </c>
      <c r="AB46" s="3">
        <f t="shared" si="7"/>
        <v>1.456287525</v>
      </c>
      <c r="AC46" s="4">
        <f t="shared" si="8"/>
        <v>14.562875250000001</v>
      </c>
      <c r="AD46" s="2">
        <f t="shared" si="9"/>
        <v>477.20774275280826</v>
      </c>
      <c r="AE46" s="3">
        <f t="shared" si="10"/>
        <v>45</v>
      </c>
    </row>
    <row r="47" spans="1:31" x14ac:dyDescent="0.3">
      <c r="A47">
        <f t="shared" si="11"/>
        <v>46</v>
      </c>
      <c r="B47">
        <f t="shared" si="12"/>
        <v>46000</v>
      </c>
      <c r="C47">
        <f t="shared" si="21"/>
        <v>290</v>
      </c>
      <c r="D47">
        <f t="shared" si="21"/>
        <v>2.5</v>
      </c>
      <c r="E47">
        <f t="shared" si="21"/>
        <v>1.7</v>
      </c>
      <c r="F47">
        <f t="shared" si="21"/>
        <v>48</v>
      </c>
      <c r="G47">
        <f t="shared" si="21"/>
        <v>21</v>
      </c>
      <c r="I47" s="2">
        <f t="shared" si="14"/>
        <v>782.65438333177212</v>
      </c>
      <c r="J47">
        <f t="shared" si="0"/>
        <v>46000</v>
      </c>
      <c r="K47">
        <f t="shared" si="1"/>
        <v>3300</v>
      </c>
      <c r="L47" s="3">
        <f t="shared" si="2"/>
        <v>1.4886494699999999</v>
      </c>
      <c r="M47" s="3">
        <f t="shared" si="3"/>
        <v>14.8864947</v>
      </c>
      <c r="N47" s="2">
        <f t="shared" si="4"/>
        <v>510.50438333177215</v>
      </c>
      <c r="Q47" s="1">
        <f t="shared" si="15"/>
        <v>46</v>
      </c>
      <c r="R47">
        <f t="shared" si="16"/>
        <v>46000</v>
      </c>
      <c r="S47">
        <f t="shared" si="22"/>
        <v>290</v>
      </c>
      <c r="T47">
        <f t="shared" si="22"/>
        <v>2.5</v>
      </c>
      <c r="U47">
        <f t="shared" si="22"/>
        <v>1.7</v>
      </c>
      <c r="V47">
        <f t="shared" si="22"/>
        <v>47</v>
      </c>
      <c r="W47">
        <f t="shared" si="22"/>
        <v>22</v>
      </c>
      <c r="Y47" s="2">
        <f t="shared" si="18"/>
        <v>755.08908023444178</v>
      </c>
      <c r="Z47">
        <f t="shared" si="5"/>
        <v>46000</v>
      </c>
      <c r="AA47">
        <f t="shared" si="6"/>
        <v>3300</v>
      </c>
      <c r="AB47" s="3">
        <f t="shared" si="7"/>
        <v>1.4886494699999999</v>
      </c>
      <c r="AC47" s="4">
        <f t="shared" si="8"/>
        <v>14.8864947</v>
      </c>
      <c r="AD47" s="2">
        <f t="shared" si="9"/>
        <v>482.9390802344418</v>
      </c>
      <c r="AE47" s="3">
        <f t="shared" si="10"/>
        <v>46</v>
      </c>
    </row>
    <row r="48" spans="1:31" x14ac:dyDescent="0.3">
      <c r="A48">
        <f t="shared" si="11"/>
        <v>47</v>
      </c>
      <c r="B48">
        <f t="shared" si="12"/>
        <v>47000</v>
      </c>
      <c r="C48">
        <f t="shared" si="21"/>
        <v>290</v>
      </c>
      <c r="D48">
        <f t="shared" si="21"/>
        <v>2.5</v>
      </c>
      <c r="E48">
        <f t="shared" si="21"/>
        <v>1.7</v>
      </c>
      <c r="F48">
        <f t="shared" si="21"/>
        <v>48</v>
      </c>
      <c r="G48">
        <f t="shared" si="21"/>
        <v>21</v>
      </c>
      <c r="I48" s="2">
        <f t="shared" si="14"/>
        <v>789.13435665883401</v>
      </c>
      <c r="J48">
        <f t="shared" si="0"/>
        <v>47000</v>
      </c>
      <c r="K48">
        <f t="shared" si="1"/>
        <v>3300</v>
      </c>
      <c r="L48" s="3">
        <f t="shared" si="2"/>
        <v>1.521011415</v>
      </c>
      <c r="M48" s="3">
        <f t="shared" si="3"/>
        <v>15.210114150000001</v>
      </c>
      <c r="N48" s="2">
        <f t="shared" si="4"/>
        <v>516.98435665883403</v>
      </c>
      <c r="Q48" s="1">
        <f t="shared" si="15"/>
        <v>47</v>
      </c>
      <c r="R48">
        <f t="shared" si="16"/>
        <v>47000</v>
      </c>
      <c r="S48">
        <f t="shared" si="22"/>
        <v>290</v>
      </c>
      <c r="T48">
        <f t="shared" si="22"/>
        <v>2.5</v>
      </c>
      <c r="U48">
        <f t="shared" si="22"/>
        <v>1.7</v>
      </c>
      <c r="V48">
        <f t="shared" si="22"/>
        <v>47</v>
      </c>
      <c r="W48">
        <f t="shared" si="22"/>
        <v>22</v>
      </c>
      <c r="Y48" s="2">
        <f t="shared" si="18"/>
        <v>760.73637242099926</v>
      </c>
      <c r="Z48">
        <f t="shared" si="5"/>
        <v>47000</v>
      </c>
      <c r="AA48">
        <f t="shared" si="6"/>
        <v>3300</v>
      </c>
      <c r="AB48" s="3">
        <f t="shared" si="7"/>
        <v>1.521011415</v>
      </c>
      <c r="AC48" s="4">
        <f t="shared" si="8"/>
        <v>15.210114150000001</v>
      </c>
      <c r="AD48" s="2">
        <f t="shared" si="9"/>
        <v>488.58637242099928</v>
      </c>
      <c r="AE48" s="3">
        <f t="shared" si="10"/>
        <v>47</v>
      </c>
    </row>
    <row r="49" spans="1:31" x14ac:dyDescent="0.3">
      <c r="A49">
        <f t="shared" si="11"/>
        <v>48</v>
      </c>
      <c r="B49">
        <f t="shared" si="12"/>
        <v>48000</v>
      </c>
      <c r="C49">
        <f t="shared" si="21"/>
        <v>290</v>
      </c>
      <c r="D49">
        <f t="shared" si="21"/>
        <v>2.5</v>
      </c>
      <c r="E49">
        <f t="shared" si="21"/>
        <v>1.7</v>
      </c>
      <c r="F49">
        <f t="shared" si="21"/>
        <v>48</v>
      </c>
      <c r="G49">
        <f t="shared" si="21"/>
        <v>21</v>
      </c>
      <c r="I49" s="2">
        <f t="shared" si="14"/>
        <v>795.54178647580841</v>
      </c>
      <c r="J49">
        <f t="shared" si="0"/>
        <v>48000</v>
      </c>
      <c r="K49">
        <f t="shared" si="1"/>
        <v>3300</v>
      </c>
      <c r="L49" s="3">
        <f t="shared" si="2"/>
        <v>1.5533733599999999</v>
      </c>
      <c r="M49" s="3">
        <f t="shared" si="3"/>
        <v>15.5337336</v>
      </c>
      <c r="N49" s="2">
        <f t="shared" si="4"/>
        <v>523.39178647580843</v>
      </c>
      <c r="Q49" s="1">
        <f t="shared" si="15"/>
        <v>48</v>
      </c>
      <c r="R49">
        <f t="shared" si="16"/>
        <v>48000</v>
      </c>
      <c r="S49">
        <f t="shared" si="22"/>
        <v>290</v>
      </c>
      <c r="T49">
        <f t="shared" si="22"/>
        <v>2.5</v>
      </c>
      <c r="U49">
        <f t="shared" si="22"/>
        <v>1.7</v>
      </c>
      <c r="V49">
        <f t="shared" si="22"/>
        <v>47</v>
      </c>
      <c r="W49">
        <f t="shared" si="22"/>
        <v>22</v>
      </c>
      <c r="Y49" s="2">
        <f t="shared" si="18"/>
        <v>766.30335403021036</v>
      </c>
      <c r="Z49">
        <f t="shared" si="5"/>
        <v>48000</v>
      </c>
      <c r="AA49">
        <f t="shared" si="6"/>
        <v>3300</v>
      </c>
      <c r="AB49" s="3">
        <f t="shared" si="7"/>
        <v>1.5533733599999999</v>
      </c>
      <c r="AC49" s="4">
        <f t="shared" si="8"/>
        <v>15.5337336</v>
      </c>
      <c r="AD49" s="2">
        <f t="shared" si="9"/>
        <v>494.15335403021038</v>
      </c>
      <c r="AE49" s="3">
        <f t="shared" si="10"/>
        <v>48</v>
      </c>
    </row>
    <row r="50" spans="1:31" x14ac:dyDescent="0.3">
      <c r="A50">
        <f t="shared" si="11"/>
        <v>49</v>
      </c>
      <c r="B50">
        <f t="shared" si="12"/>
        <v>49000</v>
      </c>
      <c r="C50">
        <f t="shared" si="21"/>
        <v>290</v>
      </c>
      <c r="D50">
        <f t="shared" si="21"/>
        <v>2.5</v>
      </c>
      <c r="E50">
        <f t="shared" si="21"/>
        <v>1.7</v>
      </c>
      <c r="F50">
        <f t="shared" si="21"/>
        <v>48</v>
      </c>
      <c r="G50">
        <f t="shared" si="21"/>
        <v>21</v>
      </c>
      <c r="I50" s="2">
        <f t="shared" si="14"/>
        <v>801.88004627682221</v>
      </c>
      <c r="J50">
        <f t="shared" si="0"/>
        <v>49000</v>
      </c>
      <c r="K50">
        <f t="shared" si="1"/>
        <v>3300</v>
      </c>
      <c r="L50" s="3">
        <f t="shared" si="2"/>
        <v>1.585735305</v>
      </c>
      <c r="M50" s="3">
        <f t="shared" si="3"/>
        <v>15.85735305</v>
      </c>
      <c r="N50" s="2">
        <f t="shared" si="4"/>
        <v>529.73004627682224</v>
      </c>
      <c r="Q50" s="1">
        <f t="shared" si="15"/>
        <v>49</v>
      </c>
      <c r="R50">
        <f t="shared" si="16"/>
        <v>49000</v>
      </c>
      <c r="S50">
        <f t="shared" si="22"/>
        <v>290</v>
      </c>
      <c r="T50">
        <f t="shared" si="22"/>
        <v>2.5</v>
      </c>
      <c r="U50">
        <f t="shared" si="22"/>
        <v>1.7</v>
      </c>
      <c r="V50">
        <f t="shared" si="22"/>
        <v>47</v>
      </c>
      <c r="W50">
        <f t="shared" si="22"/>
        <v>22</v>
      </c>
      <c r="Y50" s="2">
        <f t="shared" si="18"/>
        <v>771.79359382028747</v>
      </c>
      <c r="Z50">
        <f t="shared" si="5"/>
        <v>49000</v>
      </c>
      <c r="AA50">
        <f t="shared" si="6"/>
        <v>3300</v>
      </c>
      <c r="AB50" s="3">
        <f t="shared" si="7"/>
        <v>1.585735305</v>
      </c>
      <c r="AC50" s="4">
        <f t="shared" si="8"/>
        <v>15.85735305</v>
      </c>
      <c r="AD50" s="2">
        <f t="shared" si="9"/>
        <v>499.64359382028749</v>
      </c>
      <c r="AE50" s="3">
        <f t="shared" si="10"/>
        <v>49</v>
      </c>
    </row>
    <row r="51" spans="1:31" x14ac:dyDescent="0.3">
      <c r="A51">
        <f t="shared" si="11"/>
        <v>50</v>
      </c>
      <c r="B51">
        <f t="shared" si="12"/>
        <v>50000</v>
      </c>
      <c r="C51">
        <f t="shared" si="21"/>
        <v>290</v>
      </c>
      <c r="D51">
        <f t="shared" si="21"/>
        <v>2.5</v>
      </c>
      <c r="E51">
        <f t="shared" si="21"/>
        <v>1.7</v>
      </c>
      <c r="F51">
        <f t="shared" si="21"/>
        <v>48</v>
      </c>
      <c r="G51">
        <f t="shared" si="21"/>
        <v>21</v>
      </c>
      <c r="I51" s="2">
        <f t="shared" si="14"/>
        <v>808.15235267825153</v>
      </c>
      <c r="J51">
        <f t="shared" si="0"/>
        <v>50000</v>
      </c>
      <c r="K51">
        <f t="shared" si="1"/>
        <v>3300</v>
      </c>
      <c r="L51" s="3">
        <f t="shared" si="2"/>
        <v>1.6180972499999999</v>
      </c>
      <c r="M51" s="3">
        <f t="shared" si="3"/>
        <v>16.180972499999999</v>
      </c>
      <c r="N51" s="2">
        <f t="shared" si="4"/>
        <v>536.00235267825155</v>
      </c>
      <c r="Q51" s="1">
        <f t="shared" si="15"/>
        <v>50</v>
      </c>
      <c r="R51">
        <f t="shared" si="16"/>
        <v>50000</v>
      </c>
      <c r="S51">
        <f t="shared" si="22"/>
        <v>290</v>
      </c>
      <c r="T51">
        <f t="shared" si="22"/>
        <v>2.5</v>
      </c>
      <c r="U51">
        <f t="shared" si="22"/>
        <v>1.7</v>
      </c>
      <c r="V51">
        <f t="shared" si="22"/>
        <v>47</v>
      </c>
      <c r="W51">
        <f t="shared" si="22"/>
        <v>22</v>
      </c>
      <c r="Y51" s="2">
        <f t="shared" si="18"/>
        <v>777.2105019646641</v>
      </c>
      <c r="Z51">
        <f t="shared" si="5"/>
        <v>50000</v>
      </c>
      <c r="AA51">
        <f t="shared" si="6"/>
        <v>3300</v>
      </c>
      <c r="AB51" s="3">
        <f t="shared" si="7"/>
        <v>1.6180972499999999</v>
      </c>
      <c r="AC51" s="4">
        <f t="shared" si="8"/>
        <v>16.180972499999999</v>
      </c>
      <c r="AD51" s="2">
        <f t="shared" si="9"/>
        <v>505.06050196466413</v>
      </c>
      <c r="AE51" s="3">
        <f t="shared" si="10"/>
        <v>50</v>
      </c>
    </row>
    <row r="52" spans="1:31" x14ac:dyDescent="0.3">
      <c r="A52">
        <f>A51+1</f>
        <v>51</v>
      </c>
      <c r="B52">
        <f>A52*1000</f>
        <v>51000</v>
      </c>
      <c r="C52">
        <f>C51</f>
        <v>290</v>
      </c>
      <c r="D52">
        <f>D51</f>
        <v>2.5</v>
      </c>
      <c r="E52">
        <f t="shared" ref="E52:G67" si="23">E51</f>
        <v>1.7</v>
      </c>
      <c r="F52">
        <f t="shared" si="23"/>
        <v>48</v>
      </c>
      <c r="G52">
        <f t="shared" si="23"/>
        <v>21</v>
      </c>
      <c r="I52" s="2">
        <f>C52+(F52/D52)*A52+(E52*G52^2/D52)*(1-A52/G52-EXP(-A52/G52))</f>
        <v>814.36177271401607</v>
      </c>
      <c r="J52">
        <f t="shared" si="0"/>
        <v>51000</v>
      </c>
      <c r="K52">
        <f t="shared" si="1"/>
        <v>3300</v>
      </c>
      <c r="L52" s="3">
        <f t="shared" si="2"/>
        <v>1.650459195</v>
      </c>
      <c r="M52" s="3">
        <f t="shared" si="3"/>
        <v>16.504591950000002</v>
      </c>
      <c r="N52" s="2">
        <f t="shared" si="4"/>
        <v>542.21177271401609</v>
      </c>
      <c r="Q52" s="1">
        <f>Q51+1</f>
        <v>51</v>
      </c>
      <c r="R52">
        <f>Q52*1000</f>
        <v>51000</v>
      </c>
      <c r="S52">
        <f t="shared" ref="S52:W67" si="24">S51</f>
        <v>290</v>
      </c>
      <c r="T52">
        <f t="shared" si="24"/>
        <v>2.5</v>
      </c>
      <c r="U52">
        <f t="shared" si="24"/>
        <v>1.7</v>
      </c>
      <c r="V52">
        <f t="shared" si="24"/>
        <v>47</v>
      </c>
      <c r="W52">
        <f t="shared" si="24"/>
        <v>22</v>
      </c>
      <c r="Y52" s="2">
        <f>S52+(V52/T52)*Q52+(U52*W52^2/T52)*(1-Q52/W52-EXP(-Q52/W52))</f>
        <v>782.5573370990212</v>
      </c>
      <c r="Z52">
        <f t="shared" si="5"/>
        <v>51000</v>
      </c>
      <c r="AA52">
        <f t="shared" si="6"/>
        <v>3300</v>
      </c>
      <c r="AB52" s="3">
        <f t="shared" si="7"/>
        <v>1.650459195</v>
      </c>
      <c r="AC52" s="4">
        <f t="shared" si="8"/>
        <v>16.504591950000002</v>
      </c>
      <c r="AD52" s="2">
        <f t="shared" si="9"/>
        <v>510.40733709902122</v>
      </c>
      <c r="AE52" s="3">
        <f t="shared" si="10"/>
        <v>51</v>
      </c>
    </row>
    <row r="53" spans="1:31" x14ac:dyDescent="0.3">
      <c r="A53">
        <f t="shared" ref="A53:A116" si="25">A52+1</f>
        <v>52</v>
      </c>
      <c r="B53">
        <f t="shared" si="12"/>
        <v>52000</v>
      </c>
      <c r="C53">
        <f t="shared" ref="C53:G68" si="26">C52</f>
        <v>290</v>
      </c>
      <c r="D53">
        <f t="shared" si="26"/>
        <v>2.5</v>
      </c>
      <c r="E53">
        <f t="shared" si="23"/>
        <v>1.7</v>
      </c>
      <c r="F53">
        <f t="shared" si="23"/>
        <v>48</v>
      </c>
      <c r="G53">
        <f t="shared" si="23"/>
        <v>21</v>
      </c>
      <c r="I53" s="2">
        <f t="shared" ref="I53:I116" si="27">C53+(F53/D53)*A53+(E53*G53^2/D53)*(1-A53/G53-EXP(-A53/G53))</f>
        <v>820.51123079161925</v>
      </c>
      <c r="J53">
        <f t="shared" si="0"/>
        <v>52000</v>
      </c>
      <c r="K53">
        <f t="shared" si="1"/>
        <v>3300</v>
      </c>
      <c r="L53" s="3">
        <f t="shared" si="2"/>
        <v>1.6828211399999999</v>
      </c>
      <c r="M53" s="3">
        <f t="shared" si="3"/>
        <v>16.828211400000001</v>
      </c>
      <c r="N53" s="2">
        <f t="shared" si="4"/>
        <v>548.36123079161928</v>
      </c>
      <c r="Q53" s="1">
        <f t="shared" ref="Q53:Q116" si="28">Q52+1</f>
        <v>52</v>
      </c>
      <c r="R53">
        <f t="shared" ref="R53:R116" si="29">Q53*1000</f>
        <v>52000</v>
      </c>
      <c r="S53">
        <f t="shared" si="24"/>
        <v>290</v>
      </c>
      <c r="T53">
        <f t="shared" si="24"/>
        <v>2.5</v>
      </c>
      <c r="U53">
        <f t="shared" si="24"/>
        <v>1.7</v>
      </c>
      <c r="V53">
        <f t="shared" si="24"/>
        <v>47</v>
      </c>
      <c r="W53">
        <f t="shared" si="24"/>
        <v>22</v>
      </c>
      <c r="Y53" s="2">
        <f t="shared" ref="Y53:Y116" si="30">S53+(V53/T53)*Q53+(U53*W53^2/T53)*(1-Q53/W53-EXP(-Q53/W53))</f>
        <v>787.83721305516269</v>
      </c>
      <c r="Z53">
        <f t="shared" si="5"/>
        <v>52000</v>
      </c>
      <c r="AA53">
        <f t="shared" si="6"/>
        <v>3300</v>
      </c>
      <c r="AB53" s="3">
        <f t="shared" si="7"/>
        <v>1.6828211399999999</v>
      </c>
      <c r="AC53" s="4">
        <f t="shared" si="8"/>
        <v>16.828211400000001</v>
      </c>
      <c r="AD53" s="2">
        <f t="shared" si="9"/>
        <v>515.68721305516272</v>
      </c>
      <c r="AE53" s="3">
        <f t="shared" si="10"/>
        <v>52</v>
      </c>
    </row>
    <row r="54" spans="1:31" x14ac:dyDescent="0.3">
      <c r="A54">
        <f t="shared" si="25"/>
        <v>53</v>
      </c>
      <c r="B54">
        <f t="shared" si="12"/>
        <v>53000</v>
      </c>
      <c r="C54">
        <f t="shared" si="26"/>
        <v>290</v>
      </c>
      <c r="D54">
        <f t="shared" si="26"/>
        <v>2.5</v>
      </c>
      <c r="E54">
        <f t="shared" si="23"/>
        <v>1.7</v>
      </c>
      <c r="F54">
        <f t="shared" si="23"/>
        <v>48</v>
      </c>
      <c r="G54">
        <f t="shared" si="23"/>
        <v>21</v>
      </c>
      <c r="I54" s="2">
        <f t="shared" si="27"/>
        <v>826.60351532470895</v>
      </c>
      <c r="J54">
        <f t="shared" si="0"/>
        <v>53000</v>
      </c>
      <c r="K54">
        <f t="shared" si="1"/>
        <v>3300</v>
      </c>
      <c r="L54" s="3">
        <f t="shared" si="2"/>
        <v>1.7151830850000001</v>
      </c>
      <c r="M54" s="3">
        <f t="shared" si="3"/>
        <v>17.15183085</v>
      </c>
      <c r="N54" s="2">
        <f t="shared" si="4"/>
        <v>554.45351532470897</v>
      </c>
      <c r="Q54" s="1">
        <f t="shared" si="28"/>
        <v>53</v>
      </c>
      <c r="R54">
        <f t="shared" si="29"/>
        <v>53000</v>
      </c>
      <c r="S54">
        <f t="shared" si="24"/>
        <v>290</v>
      </c>
      <c r="T54">
        <f t="shared" si="24"/>
        <v>2.5</v>
      </c>
      <c r="U54">
        <f t="shared" si="24"/>
        <v>1.7</v>
      </c>
      <c r="V54">
        <f t="shared" si="24"/>
        <v>47</v>
      </c>
      <c r="W54">
        <f t="shared" si="24"/>
        <v>22</v>
      </c>
      <c r="Y54" s="2">
        <f t="shared" si="30"/>
        <v>793.0531052956635</v>
      </c>
      <c r="Z54">
        <f t="shared" si="5"/>
        <v>53000</v>
      </c>
      <c r="AA54">
        <f t="shared" si="6"/>
        <v>3300</v>
      </c>
      <c r="AB54" s="3">
        <f t="shared" si="7"/>
        <v>1.7151830850000001</v>
      </c>
      <c r="AC54" s="4">
        <f t="shared" si="8"/>
        <v>17.15183085</v>
      </c>
      <c r="AD54" s="2">
        <f t="shared" si="9"/>
        <v>520.90310529566352</v>
      </c>
      <c r="AE54" s="3">
        <f t="shared" si="10"/>
        <v>53</v>
      </c>
    </row>
    <row r="55" spans="1:31" x14ac:dyDescent="0.3">
      <c r="A55">
        <f t="shared" si="25"/>
        <v>54</v>
      </c>
      <c r="B55">
        <f t="shared" si="12"/>
        <v>54000</v>
      </c>
      <c r="C55">
        <f t="shared" si="26"/>
        <v>290</v>
      </c>
      <c r="D55">
        <f t="shared" si="26"/>
        <v>2.5</v>
      </c>
      <c r="E55">
        <f t="shared" si="23"/>
        <v>1.7</v>
      </c>
      <c r="F55">
        <f t="shared" si="23"/>
        <v>48</v>
      </c>
      <c r="G55">
        <f t="shared" si="23"/>
        <v>21</v>
      </c>
      <c r="I55" s="2">
        <f t="shared" si="27"/>
        <v>832.64128505720828</v>
      </c>
      <c r="J55">
        <f t="shared" si="0"/>
        <v>54000</v>
      </c>
      <c r="K55">
        <f t="shared" si="1"/>
        <v>3300</v>
      </c>
      <c r="L55" s="3">
        <f t="shared" si="2"/>
        <v>1.7475450299999999</v>
      </c>
      <c r="M55" s="3">
        <f t="shared" si="3"/>
        <v>17.475450299999999</v>
      </c>
      <c r="N55" s="2">
        <f t="shared" si="4"/>
        <v>560.4912850572083</v>
      </c>
      <c r="Q55" s="1">
        <f t="shared" si="28"/>
        <v>54</v>
      </c>
      <c r="R55">
        <f t="shared" si="29"/>
        <v>54000</v>
      </c>
      <c r="S55">
        <f t="shared" si="24"/>
        <v>290</v>
      </c>
      <c r="T55">
        <f t="shared" si="24"/>
        <v>2.5</v>
      </c>
      <c r="U55">
        <f t="shared" si="24"/>
        <v>1.7</v>
      </c>
      <c r="V55">
        <f t="shared" si="24"/>
        <v>47</v>
      </c>
      <c r="W55">
        <f t="shared" si="24"/>
        <v>22</v>
      </c>
      <c r="Y55" s="2">
        <f t="shared" si="30"/>
        <v>798.20785706257425</v>
      </c>
      <c r="Z55">
        <f t="shared" si="5"/>
        <v>54000</v>
      </c>
      <c r="AA55">
        <f t="shared" si="6"/>
        <v>3300</v>
      </c>
      <c r="AB55" s="3">
        <f t="shared" si="7"/>
        <v>1.7475450299999999</v>
      </c>
      <c r="AC55" s="4">
        <f t="shared" si="8"/>
        <v>17.475450299999999</v>
      </c>
      <c r="AD55" s="2">
        <f t="shared" si="9"/>
        <v>526.05785706257427</v>
      </c>
      <c r="AE55" s="3">
        <f t="shared" si="10"/>
        <v>54</v>
      </c>
    </row>
    <row r="56" spans="1:31" x14ac:dyDescent="0.3">
      <c r="A56">
        <f t="shared" si="25"/>
        <v>55</v>
      </c>
      <c r="B56">
        <f t="shared" si="12"/>
        <v>55000</v>
      </c>
      <c r="C56">
        <f t="shared" si="26"/>
        <v>290</v>
      </c>
      <c r="D56">
        <f t="shared" si="26"/>
        <v>2.5</v>
      </c>
      <c r="E56">
        <f t="shared" si="23"/>
        <v>1.7</v>
      </c>
      <c r="F56">
        <f t="shared" si="23"/>
        <v>48</v>
      </c>
      <c r="G56">
        <f t="shared" si="23"/>
        <v>21</v>
      </c>
      <c r="I56" s="2">
        <f t="shared" si="27"/>
        <v>838.62707509335178</v>
      </c>
      <c r="J56">
        <f t="shared" si="0"/>
        <v>55000</v>
      </c>
      <c r="K56">
        <f t="shared" si="1"/>
        <v>3300</v>
      </c>
      <c r="L56" s="3">
        <f t="shared" si="2"/>
        <v>1.7799069750000001</v>
      </c>
      <c r="M56" s="3">
        <f t="shared" si="3"/>
        <v>17.799069750000001</v>
      </c>
      <c r="N56" s="2">
        <f t="shared" si="4"/>
        <v>566.4770750933518</v>
      </c>
      <c r="Q56" s="1">
        <f t="shared" si="28"/>
        <v>55</v>
      </c>
      <c r="R56">
        <f t="shared" si="29"/>
        <v>55000</v>
      </c>
      <c r="S56">
        <f t="shared" si="24"/>
        <v>290</v>
      </c>
      <c r="T56">
        <f t="shared" si="24"/>
        <v>2.5</v>
      </c>
      <c r="U56">
        <f t="shared" si="24"/>
        <v>1.7</v>
      </c>
      <c r="V56">
        <f t="shared" si="24"/>
        <v>47</v>
      </c>
      <c r="W56">
        <f t="shared" si="24"/>
        <v>22</v>
      </c>
      <c r="Y56" s="2">
        <f t="shared" si="30"/>
        <v>803.30418525290247</v>
      </c>
      <c r="Z56">
        <f t="shared" si="5"/>
        <v>55000</v>
      </c>
      <c r="AA56">
        <f t="shared" si="6"/>
        <v>3300</v>
      </c>
      <c r="AB56" s="3">
        <f t="shared" si="7"/>
        <v>1.7799069750000001</v>
      </c>
      <c r="AC56" s="4">
        <f t="shared" si="8"/>
        <v>17.799069750000001</v>
      </c>
      <c r="AD56" s="2">
        <f t="shared" si="9"/>
        <v>531.15418525290249</v>
      </c>
      <c r="AE56" s="3">
        <f t="shared" si="10"/>
        <v>55</v>
      </c>
    </row>
    <row r="57" spans="1:31" x14ac:dyDescent="0.3">
      <c r="A57">
        <f t="shared" si="25"/>
        <v>56</v>
      </c>
      <c r="B57">
        <f t="shared" si="12"/>
        <v>56000</v>
      </c>
      <c r="C57">
        <f t="shared" si="26"/>
        <v>290</v>
      </c>
      <c r="D57">
        <f t="shared" si="26"/>
        <v>2.5</v>
      </c>
      <c r="E57">
        <f t="shared" si="23"/>
        <v>1.7</v>
      </c>
      <c r="F57">
        <f t="shared" si="23"/>
        <v>48</v>
      </c>
      <c r="G57">
        <f t="shared" si="23"/>
        <v>21</v>
      </c>
      <c r="I57" s="2">
        <f t="shared" si="27"/>
        <v>844.56330264730639</v>
      </c>
      <c r="J57">
        <f t="shared" si="0"/>
        <v>56000</v>
      </c>
      <c r="K57">
        <f t="shared" si="1"/>
        <v>3300</v>
      </c>
      <c r="L57" s="3">
        <f t="shared" si="2"/>
        <v>1.8122689199999999</v>
      </c>
      <c r="M57" s="3">
        <f t="shared" si="3"/>
        <v>18.1226892</v>
      </c>
      <c r="N57" s="2">
        <f t="shared" si="4"/>
        <v>572.41330264730641</v>
      </c>
      <c r="Q57" s="1">
        <f t="shared" si="28"/>
        <v>56</v>
      </c>
      <c r="R57">
        <f t="shared" si="29"/>
        <v>56000</v>
      </c>
      <c r="S57">
        <f t="shared" si="24"/>
        <v>290</v>
      </c>
      <c r="T57">
        <f t="shared" si="24"/>
        <v>2.5</v>
      </c>
      <c r="U57">
        <f t="shared" si="24"/>
        <v>1.7</v>
      </c>
      <c r="V57">
        <f t="shared" si="24"/>
        <v>47</v>
      </c>
      <c r="W57">
        <f t="shared" si="24"/>
        <v>22</v>
      </c>
      <c r="Y57" s="2">
        <f t="shared" si="30"/>
        <v>808.34468603300195</v>
      </c>
      <c r="Z57">
        <f t="shared" si="5"/>
        <v>56000</v>
      </c>
      <c r="AA57">
        <f t="shared" si="6"/>
        <v>3300</v>
      </c>
      <c r="AB57" s="3">
        <f t="shared" si="7"/>
        <v>1.8122689199999999</v>
      </c>
      <c r="AC57" s="4">
        <f t="shared" si="8"/>
        <v>18.1226892</v>
      </c>
      <c r="AD57" s="2">
        <f t="shared" si="9"/>
        <v>536.19468603300197</v>
      </c>
      <c r="AE57" s="3">
        <f t="shared" si="10"/>
        <v>56</v>
      </c>
    </row>
    <row r="58" spans="1:31" x14ac:dyDescent="0.3">
      <c r="A58">
        <f t="shared" si="25"/>
        <v>57</v>
      </c>
      <c r="B58">
        <f t="shared" si="12"/>
        <v>57000</v>
      </c>
      <c r="C58">
        <f t="shared" si="26"/>
        <v>290</v>
      </c>
      <c r="D58">
        <f t="shared" si="26"/>
        <v>2.5</v>
      </c>
      <c r="E58">
        <f t="shared" si="23"/>
        <v>1.7</v>
      </c>
      <c r="F58">
        <f t="shared" si="23"/>
        <v>48</v>
      </c>
      <c r="G58">
        <f t="shared" si="23"/>
        <v>21</v>
      </c>
      <c r="I58" s="2">
        <f t="shared" si="27"/>
        <v>850.45227252541963</v>
      </c>
      <c r="J58">
        <f t="shared" si="0"/>
        <v>57000</v>
      </c>
      <c r="K58">
        <f t="shared" si="1"/>
        <v>3300</v>
      </c>
      <c r="L58" s="3">
        <f t="shared" si="2"/>
        <v>1.8446308650000001</v>
      </c>
      <c r="M58" s="3">
        <f t="shared" si="3"/>
        <v>18.446308649999999</v>
      </c>
      <c r="N58" s="2">
        <f t="shared" si="4"/>
        <v>578.30227252541965</v>
      </c>
      <c r="Q58" s="1">
        <f t="shared" si="28"/>
        <v>57</v>
      </c>
      <c r="R58">
        <f t="shared" si="29"/>
        <v>57000</v>
      </c>
      <c r="S58">
        <f t="shared" si="24"/>
        <v>290</v>
      </c>
      <c r="T58">
        <f t="shared" si="24"/>
        <v>2.5</v>
      </c>
      <c r="U58">
        <f t="shared" si="24"/>
        <v>1.7</v>
      </c>
      <c r="V58">
        <f t="shared" si="24"/>
        <v>47</v>
      </c>
      <c r="W58">
        <f t="shared" si="24"/>
        <v>22</v>
      </c>
      <c r="Y58" s="2">
        <f t="shared" si="30"/>
        <v>813.33184020347642</v>
      </c>
      <c r="Z58">
        <f t="shared" si="5"/>
        <v>57000</v>
      </c>
      <c r="AA58">
        <f t="shared" si="6"/>
        <v>3300</v>
      </c>
      <c r="AB58" s="3">
        <f t="shared" si="7"/>
        <v>1.8446308650000001</v>
      </c>
      <c r="AC58" s="4">
        <f t="shared" si="8"/>
        <v>18.446308649999999</v>
      </c>
      <c r="AD58" s="2">
        <f t="shared" si="9"/>
        <v>541.18184020347644</v>
      </c>
      <c r="AE58" s="3">
        <f t="shared" si="10"/>
        <v>57</v>
      </c>
    </row>
    <row r="59" spans="1:31" x14ac:dyDescent="0.3">
      <c r="A59">
        <f t="shared" si="25"/>
        <v>58</v>
      </c>
      <c r="B59">
        <f t="shared" si="12"/>
        <v>58000</v>
      </c>
      <c r="C59">
        <f t="shared" si="26"/>
        <v>290</v>
      </c>
      <c r="D59">
        <f t="shared" si="26"/>
        <v>2.5</v>
      </c>
      <c r="E59">
        <f t="shared" si="23"/>
        <v>1.7</v>
      </c>
      <c r="F59">
        <f t="shared" si="23"/>
        <v>48</v>
      </c>
      <c r="G59">
        <f t="shared" si="23"/>
        <v>21</v>
      </c>
      <c r="I59" s="2">
        <f t="shared" si="27"/>
        <v>856.29618235352632</v>
      </c>
      <c r="J59">
        <f t="shared" si="0"/>
        <v>58000</v>
      </c>
      <c r="K59">
        <f t="shared" si="1"/>
        <v>3300</v>
      </c>
      <c r="L59" s="3">
        <f t="shared" si="2"/>
        <v>1.87699281</v>
      </c>
      <c r="M59" s="3">
        <f t="shared" si="3"/>
        <v>18.769928100000001</v>
      </c>
      <c r="N59" s="2">
        <f t="shared" si="4"/>
        <v>584.14618235352634</v>
      </c>
      <c r="Q59" s="1">
        <f t="shared" si="28"/>
        <v>58</v>
      </c>
      <c r="R59">
        <f t="shared" si="29"/>
        <v>58000</v>
      </c>
      <c r="S59">
        <f t="shared" si="24"/>
        <v>290</v>
      </c>
      <c r="T59">
        <f t="shared" si="24"/>
        <v>2.5</v>
      </c>
      <c r="U59">
        <f t="shared" si="24"/>
        <v>1.7</v>
      </c>
      <c r="V59">
        <f t="shared" si="24"/>
        <v>47</v>
      </c>
      <c r="W59">
        <f t="shared" si="24"/>
        <v>22</v>
      </c>
      <c r="Y59" s="2">
        <f t="shared" si="30"/>
        <v>818.26801832568276</v>
      </c>
      <c r="Z59">
        <f t="shared" si="5"/>
        <v>58000</v>
      </c>
      <c r="AA59">
        <f t="shared" si="6"/>
        <v>3300</v>
      </c>
      <c r="AB59" s="3">
        <f t="shared" si="7"/>
        <v>1.87699281</v>
      </c>
      <c r="AC59" s="4">
        <f t="shared" si="8"/>
        <v>18.769928100000001</v>
      </c>
      <c r="AD59" s="2">
        <f t="shared" si="9"/>
        <v>546.11801832568278</v>
      </c>
      <c r="AE59" s="3">
        <f t="shared" si="10"/>
        <v>58</v>
      </c>
    </row>
    <row r="60" spans="1:31" x14ac:dyDescent="0.3">
      <c r="A60">
        <f t="shared" si="25"/>
        <v>59</v>
      </c>
      <c r="B60">
        <f t="shared" si="12"/>
        <v>59000</v>
      </c>
      <c r="C60">
        <f t="shared" si="26"/>
        <v>290</v>
      </c>
      <c r="D60">
        <f t="shared" si="26"/>
        <v>2.5</v>
      </c>
      <c r="E60">
        <f t="shared" si="23"/>
        <v>1.7</v>
      </c>
      <c r="F60">
        <f t="shared" si="23"/>
        <v>48</v>
      </c>
      <c r="G60">
        <f t="shared" si="23"/>
        <v>21</v>
      </c>
      <c r="I60" s="2">
        <f t="shared" si="27"/>
        <v>862.09712756116676</v>
      </c>
      <c r="J60">
        <f t="shared" si="0"/>
        <v>59000</v>
      </c>
      <c r="K60">
        <f t="shared" si="1"/>
        <v>3300</v>
      </c>
      <c r="L60" s="3">
        <f t="shared" si="2"/>
        <v>1.9093547550000001</v>
      </c>
      <c r="M60" s="3">
        <f t="shared" si="3"/>
        <v>19.09354755</v>
      </c>
      <c r="N60" s="2">
        <f t="shared" si="4"/>
        <v>589.94712756116678</v>
      </c>
      <c r="Q60" s="1">
        <f t="shared" si="28"/>
        <v>59</v>
      </c>
      <c r="R60">
        <f t="shared" si="29"/>
        <v>59000</v>
      </c>
      <c r="S60">
        <f t="shared" si="24"/>
        <v>290</v>
      </c>
      <c r="T60">
        <f t="shared" si="24"/>
        <v>2.5</v>
      </c>
      <c r="U60">
        <f t="shared" si="24"/>
        <v>1.7</v>
      </c>
      <c r="V60">
        <f t="shared" si="24"/>
        <v>47</v>
      </c>
      <c r="W60">
        <f t="shared" si="24"/>
        <v>22</v>
      </c>
      <c r="Y60" s="2">
        <f t="shared" si="30"/>
        <v>823.15548562042898</v>
      </c>
      <c r="Z60">
        <f t="shared" si="5"/>
        <v>59000</v>
      </c>
      <c r="AA60">
        <f t="shared" si="6"/>
        <v>3300</v>
      </c>
      <c r="AB60" s="3">
        <f t="shared" si="7"/>
        <v>1.9093547550000001</v>
      </c>
      <c r="AC60" s="4">
        <f t="shared" si="8"/>
        <v>19.09354755</v>
      </c>
      <c r="AD60" s="2">
        <f t="shared" si="9"/>
        <v>551.005485620429</v>
      </c>
      <c r="AE60" s="3">
        <f t="shared" si="10"/>
        <v>59</v>
      </c>
    </row>
    <row r="61" spans="1:31" x14ac:dyDescent="0.3">
      <c r="A61">
        <f t="shared" si="25"/>
        <v>60</v>
      </c>
      <c r="B61">
        <f t="shared" si="12"/>
        <v>60000</v>
      </c>
      <c r="C61">
        <f t="shared" si="26"/>
        <v>290</v>
      </c>
      <c r="D61">
        <f t="shared" si="26"/>
        <v>2.5</v>
      </c>
      <c r="E61">
        <f t="shared" si="23"/>
        <v>1.7</v>
      </c>
      <c r="F61">
        <f t="shared" si="23"/>
        <v>48</v>
      </c>
      <c r="G61">
        <f t="shared" si="23"/>
        <v>21</v>
      </c>
      <c r="I61" s="2">
        <f t="shared" si="27"/>
        <v>867.85710613402694</v>
      </c>
      <c r="J61">
        <f t="shared" si="0"/>
        <v>60000</v>
      </c>
      <c r="K61">
        <f t="shared" si="1"/>
        <v>3300</v>
      </c>
      <c r="L61" s="3">
        <f t="shared" si="2"/>
        <v>1.9417167</v>
      </c>
      <c r="M61" s="3">
        <f t="shared" si="3"/>
        <v>19.417166999999999</v>
      </c>
      <c r="N61" s="2">
        <f t="shared" si="4"/>
        <v>595.70710613402696</v>
      </c>
      <c r="Q61" s="1">
        <f t="shared" si="28"/>
        <v>60</v>
      </c>
      <c r="R61">
        <f t="shared" si="29"/>
        <v>60000</v>
      </c>
      <c r="S61">
        <f t="shared" si="24"/>
        <v>290</v>
      </c>
      <c r="T61">
        <f t="shared" si="24"/>
        <v>2.5</v>
      </c>
      <c r="U61">
        <f t="shared" si="24"/>
        <v>1.7</v>
      </c>
      <c r="V61">
        <f t="shared" si="24"/>
        <v>47</v>
      </c>
      <c r="W61">
        <f t="shared" si="24"/>
        <v>22</v>
      </c>
      <c r="Y61" s="2">
        <f t="shared" si="30"/>
        <v>827.99640664898845</v>
      </c>
      <c r="Z61">
        <f t="shared" si="5"/>
        <v>60000</v>
      </c>
      <c r="AA61">
        <f t="shared" si="6"/>
        <v>3300</v>
      </c>
      <c r="AB61" s="3">
        <f t="shared" si="7"/>
        <v>1.9417167</v>
      </c>
      <c r="AC61" s="4">
        <f t="shared" si="8"/>
        <v>19.417166999999999</v>
      </c>
      <c r="AD61" s="2">
        <f t="shared" si="9"/>
        <v>555.84640664898848</v>
      </c>
      <c r="AE61" s="3">
        <f t="shared" si="10"/>
        <v>60</v>
      </c>
    </row>
    <row r="62" spans="1:31" x14ac:dyDescent="0.3">
      <c r="A62">
        <f t="shared" si="25"/>
        <v>61</v>
      </c>
      <c r="B62">
        <f t="shared" si="12"/>
        <v>61000</v>
      </c>
      <c r="C62">
        <f t="shared" si="26"/>
        <v>290</v>
      </c>
      <c r="D62">
        <f t="shared" si="26"/>
        <v>2.5</v>
      </c>
      <c r="E62">
        <f t="shared" si="23"/>
        <v>1.7</v>
      </c>
      <c r="F62">
        <f t="shared" si="23"/>
        <v>48</v>
      </c>
      <c r="G62">
        <f t="shared" si="23"/>
        <v>21</v>
      </c>
      <c r="I62" s="2">
        <f t="shared" si="27"/>
        <v>873.57802314537457</v>
      </c>
      <c r="J62">
        <f t="shared" si="0"/>
        <v>61000</v>
      </c>
      <c r="K62">
        <f t="shared" si="1"/>
        <v>3300</v>
      </c>
      <c r="L62" s="3">
        <f t="shared" si="2"/>
        <v>1.9740786450000001</v>
      </c>
      <c r="M62" s="3">
        <f t="shared" si="3"/>
        <v>19.740786450000002</v>
      </c>
      <c r="N62" s="2">
        <f t="shared" si="4"/>
        <v>601.4280231453746</v>
      </c>
      <c r="Q62" s="1">
        <f t="shared" si="28"/>
        <v>61</v>
      </c>
      <c r="R62">
        <f t="shared" si="29"/>
        <v>61000</v>
      </c>
      <c r="S62">
        <f t="shared" si="24"/>
        <v>290</v>
      </c>
      <c r="T62">
        <f t="shared" si="24"/>
        <v>2.5</v>
      </c>
      <c r="U62">
        <f t="shared" si="24"/>
        <v>1.7</v>
      </c>
      <c r="V62">
        <f t="shared" si="24"/>
        <v>47</v>
      </c>
      <c r="W62">
        <f t="shared" si="24"/>
        <v>22</v>
      </c>
      <c r="Y62" s="2">
        <f t="shared" si="30"/>
        <v>832.79284978610337</v>
      </c>
      <c r="Z62">
        <f t="shared" si="5"/>
        <v>61000</v>
      </c>
      <c r="AA62">
        <f t="shared" si="6"/>
        <v>3300</v>
      </c>
      <c r="AB62" s="3">
        <f t="shared" si="7"/>
        <v>1.9740786450000001</v>
      </c>
      <c r="AC62" s="4">
        <f t="shared" si="8"/>
        <v>19.740786450000002</v>
      </c>
      <c r="AD62" s="2">
        <f t="shared" si="9"/>
        <v>560.6428497861034</v>
      </c>
      <c r="AE62" s="3">
        <f t="shared" si="10"/>
        <v>61</v>
      </c>
    </row>
    <row r="63" spans="1:31" x14ac:dyDescent="0.3">
      <c r="A63">
        <f t="shared" si="25"/>
        <v>62</v>
      </c>
      <c r="B63">
        <f t="shared" si="12"/>
        <v>62000</v>
      </c>
      <c r="C63">
        <f t="shared" si="26"/>
        <v>290</v>
      </c>
      <c r="D63">
        <f t="shared" si="26"/>
        <v>2.5</v>
      </c>
      <c r="E63">
        <f t="shared" si="23"/>
        <v>1.7</v>
      </c>
      <c r="F63">
        <f t="shared" si="23"/>
        <v>48</v>
      </c>
      <c r="G63">
        <f t="shared" si="23"/>
        <v>21</v>
      </c>
      <c r="I63" s="2">
        <f t="shared" si="27"/>
        <v>879.26169507676866</v>
      </c>
      <c r="J63">
        <f t="shared" si="0"/>
        <v>62000</v>
      </c>
      <c r="K63">
        <f t="shared" si="1"/>
        <v>3300</v>
      </c>
      <c r="L63" s="3">
        <f t="shared" si="2"/>
        <v>2.00644059</v>
      </c>
      <c r="M63" s="3">
        <f t="shared" si="3"/>
        <v>20.064405900000001</v>
      </c>
      <c r="N63" s="2">
        <f t="shared" si="4"/>
        <v>607.11169507676868</v>
      </c>
      <c r="Q63" s="1">
        <f t="shared" si="28"/>
        <v>62</v>
      </c>
      <c r="R63">
        <f t="shared" si="29"/>
        <v>62000</v>
      </c>
      <c r="S63">
        <f t="shared" si="24"/>
        <v>290</v>
      </c>
      <c r="T63">
        <f t="shared" si="24"/>
        <v>2.5</v>
      </c>
      <c r="U63">
        <f t="shared" si="24"/>
        <v>1.7</v>
      </c>
      <c r="V63">
        <f t="shared" si="24"/>
        <v>47</v>
      </c>
      <c r="W63">
        <f t="shared" si="24"/>
        <v>22</v>
      </c>
      <c r="Y63" s="2">
        <f t="shared" si="30"/>
        <v>837.54679149422327</v>
      </c>
      <c r="Z63">
        <f t="shared" si="5"/>
        <v>62000</v>
      </c>
      <c r="AA63">
        <f t="shared" si="6"/>
        <v>3300</v>
      </c>
      <c r="AB63" s="3">
        <f t="shared" si="7"/>
        <v>2.00644059</v>
      </c>
      <c r="AC63" s="4">
        <f t="shared" si="8"/>
        <v>20.064405900000001</v>
      </c>
      <c r="AD63" s="2">
        <f t="shared" si="9"/>
        <v>565.39679149422329</v>
      </c>
      <c r="AE63" s="3">
        <f t="shared" si="10"/>
        <v>62</v>
      </c>
    </row>
    <row r="64" spans="1:31" x14ac:dyDescent="0.3">
      <c r="A64">
        <f t="shared" si="25"/>
        <v>63</v>
      </c>
      <c r="B64">
        <f t="shared" si="12"/>
        <v>63000</v>
      </c>
      <c r="C64">
        <f t="shared" si="26"/>
        <v>290</v>
      </c>
      <c r="D64">
        <f t="shared" si="26"/>
        <v>2.5</v>
      </c>
      <c r="E64">
        <f t="shared" si="23"/>
        <v>1.7</v>
      </c>
      <c r="F64">
        <f t="shared" si="23"/>
        <v>48</v>
      </c>
      <c r="G64">
        <f t="shared" si="23"/>
        <v>21</v>
      </c>
      <c r="I64" s="2">
        <f t="shared" si="27"/>
        <v>884.90985393784479</v>
      </c>
      <c r="J64">
        <f t="shared" si="0"/>
        <v>63000</v>
      </c>
      <c r="K64">
        <f t="shared" si="1"/>
        <v>3300</v>
      </c>
      <c r="L64" s="3">
        <f t="shared" si="2"/>
        <v>2.0388025349999999</v>
      </c>
      <c r="M64" s="3">
        <f t="shared" si="3"/>
        <v>20.388025349999999</v>
      </c>
      <c r="N64" s="2">
        <f t="shared" si="4"/>
        <v>612.75985393784481</v>
      </c>
      <c r="Q64" s="1">
        <f t="shared" si="28"/>
        <v>63</v>
      </c>
      <c r="R64">
        <f t="shared" si="29"/>
        <v>63000</v>
      </c>
      <c r="S64">
        <f t="shared" si="24"/>
        <v>290</v>
      </c>
      <c r="T64">
        <f t="shared" si="24"/>
        <v>2.5</v>
      </c>
      <c r="U64">
        <f t="shared" si="24"/>
        <v>1.7</v>
      </c>
      <c r="V64">
        <f t="shared" si="24"/>
        <v>47</v>
      </c>
      <c r="W64">
        <f t="shared" si="24"/>
        <v>22</v>
      </c>
      <c r="Y64" s="2">
        <f t="shared" si="30"/>
        <v>842.26012040780631</v>
      </c>
      <c r="Z64">
        <f t="shared" si="5"/>
        <v>63000</v>
      </c>
      <c r="AA64">
        <f t="shared" si="6"/>
        <v>3300</v>
      </c>
      <c r="AB64" s="3">
        <f t="shared" si="7"/>
        <v>2.0388025349999999</v>
      </c>
      <c r="AC64" s="4">
        <f t="shared" si="8"/>
        <v>20.388025349999999</v>
      </c>
      <c r="AD64" s="2">
        <f t="shared" si="9"/>
        <v>570.11012040780633</v>
      </c>
      <c r="AE64" s="3">
        <f t="shared" si="10"/>
        <v>63</v>
      </c>
    </row>
    <row r="65" spans="1:31" x14ac:dyDescent="0.3">
      <c r="A65">
        <f t="shared" si="25"/>
        <v>64</v>
      </c>
      <c r="B65">
        <f t="shared" si="12"/>
        <v>64000</v>
      </c>
      <c r="C65">
        <f t="shared" si="26"/>
        <v>290</v>
      </c>
      <c r="D65">
        <f t="shared" si="26"/>
        <v>2.5</v>
      </c>
      <c r="E65">
        <f t="shared" si="23"/>
        <v>1.7</v>
      </c>
      <c r="F65">
        <f t="shared" si="23"/>
        <v>48</v>
      </c>
      <c r="G65">
        <f t="shared" si="23"/>
        <v>21</v>
      </c>
      <c r="I65" s="2">
        <f t="shared" si="27"/>
        <v>890.52415119451609</v>
      </c>
      <c r="J65">
        <f t="shared" si="0"/>
        <v>64000</v>
      </c>
      <c r="K65">
        <f t="shared" si="1"/>
        <v>3300</v>
      </c>
      <c r="L65" s="3">
        <f t="shared" si="2"/>
        <v>2.0711644800000002</v>
      </c>
      <c r="M65" s="3">
        <f t="shared" si="3"/>
        <v>20.711644800000002</v>
      </c>
      <c r="N65" s="2">
        <f t="shared" si="4"/>
        <v>618.37415119451612</v>
      </c>
      <c r="Q65" s="1">
        <f t="shared" si="28"/>
        <v>64</v>
      </c>
      <c r="R65">
        <f t="shared" si="29"/>
        <v>64000</v>
      </c>
      <c r="S65">
        <f t="shared" si="24"/>
        <v>290</v>
      </c>
      <c r="T65">
        <f t="shared" si="24"/>
        <v>2.5</v>
      </c>
      <c r="U65">
        <f t="shared" si="24"/>
        <v>1.7</v>
      </c>
      <c r="V65">
        <f t="shared" si="24"/>
        <v>47</v>
      </c>
      <c r="W65">
        <f t="shared" si="24"/>
        <v>22</v>
      </c>
      <c r="Y65" s="2">
        <f t="shared" si="30"/>
        <v>846.93464123613046</v>
      </c>
      <c r="Z65">
        <f t="shared" si="5"/>
        <v>64000</v>
      </c>
      <c r="AA65">
        <f t="shared" si="6"/>
        <v>3300</v>
      </c>
      <c r="AB65" s="3">
        <f t="shared" si="7"/>
        <v>2.0711644800000002</v>
      </c>
      <c r="AC65" s="4">
        <f t="shared" si="8"/>
        <v>20.711644800000002</v>
      </c>
      <c r="AD65" s="2">
        <f t="shared" si="9"/>
        <v>574.78464123613048</v>
      </c>
      <c r="AE65" s="3">
        <f t="shared" si="10"/>
        <v>64</v>
      </c>
    </row>
    <row r="66" spans="1:31" x14ac:dyDescent="0.3">
      <c r="A66">
        <f t="shared" si="25"/>
        <v>65</v>
      </c>
      <c r="B66">
        <f t="shared" si="12"/>
        <v>65000</v>
      </c>
      <c r="C66">
        <f t="shared" si="26"/>
        <v>290</v>
      </c>
      <c r="D66">
        <f t="shared" si="26"/>
        <v>2.5</v>
      </c>
      <c r="E66">
        <f t="shared" si="23"/>
        <v>1.7</v>
      </c>
      <c r="F66">
        <f t="shared" si="23"/>
        <v>48</v>
      </c>
      <c r="G66">
        <f t="shared" si="23"/>
        <v>21</v>
      </c>
      <c r="I66" s="2">
        <f t="shared" si="27"/>
        <v>896.10616151450142</v>
      </c>
      <c r="J66">
        <f t="shared" si="0"/>
        <v>65000</v>
      </c>
      <c r="K66">
        <f t="shared" si="1"/>
        <v>3300</v>
      </c>
      <c r="L66" s="3">
        <f t="shared" si="2"/>
        <v>2.1035264250000001</v>
      </c>
      <c r="M66" s="3">
        <f t="shared" si="3"/>
        <v>21.035264250000001</v>
      </c>
      <c r="N66" s="2">
        <f t="shared" si="4"/>
        <v>623.95616151450145</v>
      </c>
      <c r="Q66" s="1">
        <f t="shared" si="28"/>
        <v>65</v>
      </c>
      <c r="R66">
        <f t="shared" si="29"/>
        <v>65000</v>
      </c>
      <c r="S66">
        <f t="shared" si="24"/>
        <v>290</v>
      </c>
      <c r="T66">
        <f t="shared" si="24"/>
        <v>2.5</v>
      </c>
      <c r="U66">
        <f t="shared" si="24"/>
        <v>1.7</v>
      </c>
      <c r="V66">
        <f t="shared" si="24"/>
        <v>47</v>
      </c>
      <c r="W66">
        <f t="shared" si="24"/>
        <v>22</v>
      </c>
      <c r="Y66" s="2">
        <f t="shared" si="30"/>
        <v>851.5720784926732</v>
      </c>
      <c r="Z66">
        <f t="shared" si="5"/>
        <v>65000</v>
      </c>
      <c r="AA66">
        <f t="shared" si="6"/>
        <v>3300</v>
      </c>
      <c r="AB66" s="3">
        <f t="shared" si="7"/>
        <v>2.1035264250000001</v>
      </c>
      <c r="AC66" s="4">
        <f t="shared" si="8"/>
        <v>21.035264250000001</v>
      </c>
      <c r="AD66" s="2">
        <f t="shared" si="9"/>
        <v>579.42207849267322</v>
      </c>
      <c r="AE66" s="3">
        <f t="shared" si="10"/>
        <v>65</v>
      </c>
    </row>
    <row r="67" spans="1:31" x14ac:dyDescent="0.3">
      <c r="A67">
        <f t="shared" si="25"/>
        <v>66</v>
      </c>
      <c r="B67">
        <f t="shared" si="12"/>
        <v>66000</v>
      </c>
      <c r="C67">
        <f t="shared" si="26"/>
        <v>290</v>
      </c>
      <c r="D67">
        <f t="shared" si="26"/>
        <v>2.5</v>
      </c>
      <c r="E67">
        <f t="shared" si="23"/>
        <v>1.7</v>
      </c>
      <c r="F67">
        <f t="shared" si="23"/>
        <v>48</v>
      </c>
      <c r="G67">
        <f t="shared" si="23"/>
        <v>21</v>
      </c>
      <c r="I67" s="2">
        <f t="shared" si="27"/>
        <v>901.65738633867568</v>
      </c>
      <c r="J67">
        <f t="shared" ref="J67:J130" si="31">B67</f>
        <v>66000</v>
      </c>
      <c r="K67">
        <f t="shared" ref="K67:K130" si="32">IF(J67&lt;36,2830,3300)</f>
        <v>3300</v>
      </c>
      <c r="L67" s="3">
        <f t="shared" ref="L67:L130" si="33">9.80665*K67*J67/1000000000</f>
        <v>2.13588837</v>
      </c>
      <c r="M67" s="3">
        <f t="shared" ref="M67:M130" si="34">L67*10</f>
        <v>21.3588837</v>
      </c>
      <c r="N67" s="2">
        <f t="shared" ref="N67:N130" si="35">I67-272.15</f>
        <v>629.5073863386757</v>
      </c>
      <c r="Q67" s="1">
        <f t="shared" si="28"/>
        <v>66</v>
      </c>
      <c r="R67">
        <f t="shared" si="29"/>
        <v>66000</v>
      </c>
      <c r="S67">
        <f t="shared" si="24"/>
        <v>290</v>
      </c>
      <c r="T67">
        <f t="shared" si="24"/>
        <v>2.5</v>
      </c>
      <c r="U67">
        <f t="shared" si="24"/>
        <v>1.7</v>
      </c>
      <c r="V67">
        <f t="shared" si="24"/>
        <v>47</v>
      </c>
      <c r="W67">
        <f t="shared" si="24"/>
        <v>22</v>
      </c>
      <c r="Y67" s="2">
        <f t="shared" si="30"/>
        <v>856.17408005876848</v>
      </c>
      <c r="Z67">
        <f t="shared" ref="Z67:Z130" si="36">R67</f>
        <v>66000</v>
      </c>
      <c r="AA67">
        <f t="shared" ref="AA67:AA130" si="37">IF(Z67&lt;36,2830,3300)</f>
        <v>3300</v>
      </c>
      <c r="AB67" s="3">
        <f t="shared" ref="AB67:AB130" si="38">9.80665*AA67*Z67/1000000000</f>
        <v>2.13588837</v>
      </c>
      <c r="AC67" s="4">
        <f t="shared" ref="AC67:AC130" si="39">AB67*10</f>
        <v>21.3588837</v>
      </c>
      <c r="AD67" s="2">
        <f t="shared" ref="AD67:AD130" si="40">Y67-272.15</f>
        <v>584.0240800587685</v>
      </c>
      <c r="AE67" s="3">
        <f t="shared" ref="AE67:AE130" si="41">R67/1000</f>
        <v>66</v>
      </c>
    </row>
    <row r="68" spans="1:31" x14ac:dyDescent="0.3">
      <c r="A68">
        <f t="shared" si="25"/>
        <v>67</v>
      </c>
      <c r="B68">
        <f t="shared" ref="B68:B131" si="42">A68*1000</f>
        <v>67000</v>
      </c>
      <c r="C68">
        <f t="shared" si="26"/>
        <v>290</v>
      </c>
      <c r="D68">
        <f t="shared" si="26"/>
        <v>2.5</v>
      </c>
      <c r="E68">
        <f t="shared" si="26"/>
        <v>1.7</v>
      </c>
      <c r="F68">
        <f t="shared" si="26"/>
        <v>48</v>
      </c>
      <c r="G68">
        <f t="shared" si="26"/>
        <v>21</v>
      </c>
      <c r="I68" s="2">
        <f t="shared" si="27"/>
        <v>907.17925728634077</v>
      </c>
      <c r="J68">
        <f t="shared" si="31"/>
        <v>67000</v>
      </c>
      <c r="K68">
        <f t="shared" si="32"/>
        <v>3300</v>
      </c>
      <c r="L68" s="3">
        <f t="shared" si="33"/>
        <v>2.1682503149999999</v>
      </c>
      <c r="M68" s="3">
        <f t="shared" si="34"/>
        <v>21.682503149999999</v>
      </c>
      <c r="N68" s="2">
        <f t="shared" si="35"/>
        <v>635.02925728634079</v>
      </c>
      <c r="Q68" s="1">
        <f t="shared" si="28"/>
        <v>67</v>
      </c>
      <c r="R68">
        <f t="shared" si="29"/>
        <v>67000</v>
      </c>
      <c r="S68">
        <f t="shared" ref="S68:W83" si="43">S67</f>
        <v>290</v>
      </c>
      <c r="T68">
        <f t="shared" si="43"/>
        <v>2.5</v>
      </c>
      <c r="U68">
        <f>U67</f>
        <v>1.7</v>
      </c>
      <c r="V68">
        <f>V67</f>
        <v>47</v>
      </c>
      <c r="W68">
        <f>W67</f>
        <v>22</v>
      </c>
      <c r="Y68" s="2">
        <f t="shared" si="30"/>
        <v>860.74222058890814</v>
      </c>
      <c r="Z68">
        <f t="shared" si="36"/>
        <v>67000</v>
      </c>
      <c r="AA68">
        <f t="shared" si="37"/>
        <v>3300</v>
      </c>
      <c r="AB68" s="3">
        <f t="shared" si="38"/>
        <v>2.1682503149999999</v>
      </c>
      <c r="AC68" s="4">
        <f t="shared" si="39"/>
        <v>21.682503149999999</v>
      </c>
      <c r="AD68" s="2">
        <f t="shared" si="40"/>
        <v>588.59222058890816</v>
      </c>
      <c r="AE68" s="3">
        <f t="shared" si="41"/>
        <v>67</v>
      </c>
    </row>
    <row r="69" spans="1:31" x14ac:dyDescent="0.3">
      <c r="A69">
        <f t="shared" si="25"/>
        <v>68</v>
      </c>
      <c r="B69">
        <f t="shared" si="42"/>
        <v>68000</v>
      </c>
      <c r="C69">
        <f t="shared" ref="C69:G84" si="44">C68</f>
        <v>290</v>
      </c>
      <c r="D69">
        <f t="shared" si="44"/>
        <v>2.5</v>
      </c>
      <c r="E69">
        <f t="shared" si="44"/>
        <v>1.7</v>
      </c>
      <c r="F69">
        <f t="shared" si="44"/>
        <v>48</v>
      </c>
      <c r="G69">
        <f t="shared" si="44"/>
        <v>21</v>
      </c>
      <c r="I69" s="2">
        <f t="shared" si="27"/>
        <v>912.67313940214262</v>
      </c>
      <c r="J69">
        <f t="shared" si="31"/>
        <v>68000</v>
      </c>
      <c r="K69">
        <f t="shared" si="32"/>
        <v>3300</v>
      </c>
      <c r="L69" s="3">
        <f t="shared" si="33"/>
        <v>2.2006122600000002</v>
      </c>
      <c r="M69" s="3">
        <f t="shared" si="34"/>
        <v>22.006122600000001</v>
      </c>
      <c r="N69" s="2">
        <f t="shared" si="35"/>
        <v>640.52313940214265</v>
      </c>
      <c r="Q69" s="1">
        <f t="shared" si="28"/>
        <v>68</v>
      </c>
      <c r="R69">
        <f t="shared" si="29"/>
        <v>68000</v>
      </c>
      <c r="S69">
        <f t="shared" si="43"/>
        <v>290</v>
      </c>
      <c r="T69">
        <f t="shared" si="43"/>
        <v>2.5</v>
      </c>
      <c r="U69">
        <f t="shared" si="43"/>
        <v>1.7</v>
      </c>
      <c r="V69">
        <f t="shared" si="43"/>
        <v>47</v>
      </c>
      <c r="W69">
        <f t="shared" si="43"/>
        <v>22</v>
      </c>
      <c r="Y69" s="2">
        <f t="shared" si="30"/>
        <v>865.27800476471793</v>
      </c>
      <c r="Z69">
        <f t="shared" si="36"/>
        <v>68000</v>
      </c>
      <c r="AA69">
        <f t="shared" si="37"/>
        <v>3300</v>
      </c>
      <c r="AB69" s="3">
        <f t="shared" si="38"/>
        <v>2.2006122600000002</v>
      </c>
      <c r="AC69" s="4">
        <f t="shared" si="39"/>
        <v>22.006122600000001</v>
      </c>
      <c r="AD69" s="2">
        <f t="shared" si="40"/>
        <v>593.12800476471796</v>
      </c>
      <c r="AE69" s="3">
        <f t="shared" si="41"/>
        <v>68</v>
      </c>
    </row>
    <row r="70" spans="1:31" x14ac:dyDescent="0.3">
      <c r="A70">
        <f t="shared" si="25"/>
        <v>69</v>
      </c>
      <c r="B70">
        <f t="shared" si="42"/>
        <v>69000</v>
      </c>
      <c r="C70">
        <f t="shared" si="44"/>
        <v>290</v>
      </c>
      <c r="D70">
        <f t="shared" si="44"/>
        <v>2.5</v>
      </c>
      <c r="E70">
        <f t="shared" si="44"/>
        <v>1.7</v>
      </c>
      <c r="F70">
        <f t="shared" si="44"/>
        <v>48</v>
      </c>
      <c r="G70">
        <f t="shared" si="44"/>
        <v>21</v>
      </c>
      <c r="I70" s="2">
        <f t="shared" si="27"/>
        <v>918.14033425199307</v>
      </c>
      <c r="J70">
        <f t="shared" si="31"/>
        <v>69000</v>
      </c>
      <c r="K70">
        <f t="shared" si="32"/>
        <v>3300</v>
      </c>
      <c r="L70" s="3">
        <f t="shared" si="33"/>
        <v>2.2329742050000001</v>
      </c>
      <c r="M70" s="3">
        <f t="shared" si="34"/>
        <v>22.32974205</v>
      </c>
      <c r="N70" s="2">
        <f t="shared" si="35"/>
        <v>645.99033425199309</v>
      </c>
      <c r="Q70" s="1">
        <f t="shared" si="28"/>
        <v>69</v>
      </c>
      <c r="R70">
        <f t="shared" si="29"/>
        <v>69000</v>
      </c>
      <c r="S70">
        <f t="shared" si="43"/>
        <v>290</v>
      </c>
      <c r="T70">
        <f t="shared" si="43"/>
        <v>2.5</v>
      </c>
      <c r="U70">
        <f t="shared" si="43"/>
        <v>1.7</v>
      </c>
      <c r="V70">
        <f t="shared" si="43"/>
        <v>47</v>
      </c>
      <c r="W70">
        <f t="shared" si="43"/>
        <v>22</v>
      </c>
      <c r="Y70" s="2">
        <f t="shared" si="30"/>
        <v>869.78287040434225</v>
      </c>
      <c r="Z70">
        <f t="shared" si="36"/>
        <v>69000</v>
      </c>
      <c r="AA70">
        <f t="shared" si="37"/>
        <v>3300</v>
      </c>
      <c r="AB70" s="3">
        <f t="shared" si="38"/>
        <v>2.2329742050000001</v>
      </c>
      <c r="AC70" s="4">
        <f t="shared" si="39"/>
        <v>22.32974205</v>
      </c>
      <c r="AD70" s="2">
        <f t="shared" si="40"/>
        <v>597.63287040434227</v>
      </c>
      <c r="AE70" s="3">
        <f t="shared" si="41"/>
        <v>69</v>
      </c>
    </row>
    <row r="71" spans="1:31" x14ac:dyDescent="0.3">
      <c r="A71">
        <f t="shared" si="25"/>
        <v>70</v>
      </c>
      <c r="B71">
        <f t="shared" si="42"/>
        <v>70000</v>
      </c>
      <c r="C71">
        <f t="shared" si="44"/>
        <v>290</v>
      </c>
      <c r="D71">
        <f t="shared" si="44"/>
        <v>2.5</v>
      </c>
      <c r="E71">
        <f t="shared" si="44"/>
        <v>1.7</v>
      </c>
      <c r="F71">
        <f t="shared" si="44"/>
        <v>48</v>
      </c>
      <c r="G71">
        <f t="shared" si="44"/>
        <v>21</v>
      </c>
      <c r="I71" s="2">
        <f t="shared" si="27"/>
        <v>923.58208287502589</v>
      </c>
      <c r="J71">
        <f t="shared" si="31"/>
        <v>70000</v>
      </c>
      <c r="K71">
        <f t="shared" si="32"/>
        <v>3300</v>
      </c>
      <c r="L71" s="3">
        <f t="shared" si="33"/>
        <v>2.26533615</v>
      </c>
      <c r="M71" s="3">
        <f t="shared" si="34"/>
        <v>22.653361499999999</v>
      </c>
      <c r="N71" s="2">
        <f t="shared" si="35"/>
        <v>651.43208287502591</v>
      </c>
      <c r="Q71" s="1">
        <f t="shared" si="28"/>
        <v>70</v>
      </c>
      <c r="R71">
        <f t="shared" si="29"/>
        <v>70000</v>
      </c>
      <c r="S71">
        <f t="shared" si="43"/>
        <v>290</v>
      </c>
      <c r="T71">
        <f t="shared" si="43"/>
        <v>2.5</v>
      </c>
      <c r="U71">
        <f t="shared" si="43"/>
        <v>1.7</v>
      </c>
      <c r="V71">
        <f t="shared" si="43"/>
        <v>47</v>
      </c>
      <c r="W71">
        <f t="shared" si="43"/>
        <v>22</v>
      </c>
      <c r="Y71" s="2">
        <f t="shared" si="30"/>
        <v>874.25819143365209</v>
      </c>
      <c r="Z71">
        <f t="shared" si="36"/>
        <v>70000</v>
      </c>
      <c r="AA71">
        <f t="shared" si="37"/>
        <v>3300</v>
      </c>
      <c r="AB71" s="3">
        <f t="shared" si="38"/>
        <v>2.26533615</v>
      </c>
      <c r="AC71" s="4">
        <f t="shared" si="39"/>
        <v>22.653361499999999</v>
      </c>
      <c r="AD71" s="2">
        <f t="shared" si="40"/>
        <v>602.10819143365211</v>
      </c>
      <c r="AE71" s="3">
        <f t="shared" si="41"/>
        <v>70</v>
      </c>
    </row>
    <row r="72" spans="1:31" x14ac:dyDescent="0.3">
      <c r="A72">
        <f t="shared" si="25"/>
        <v>71</v>
      </c>
      <c r="B72">
        <f t="shared" si="42"/>
        <v>71000</v>
      </c>
      <c r="C72">
        <f t="shared" si="44"/>
        <v>290</v>
      </c>
      <c r="D72">
        <f t="shared" si="44"/>
        <v>2.5</v>
      </c>
      <c r="E72">
        <f t="shared" si="44"/>
        <v>1.7</v>
      </c>
      <c r="F72">
        <f t="shared" si="44"/>
        <v>48</v>
      </c>
      <c r="G72">
        <f t="shared" si="44"/>
        <v>21</v>
      </c>
      <c r="I72" s="2">
        <f t="shared" si="27"/>
        <v>928.99956859827637</v>
      </c>
      <c r="J72">
        <f t="shared" si="31"/>
        <v>71000</v>
      </c>
      <c r="K72">
        <f t="shared" si="32"/>
        <v>3300</v>
      </c>
      <c r="L72" s="3">
        <f t="shared" si="33"/>
        <v>2.2976980949999999</v>
      </c>
      <c r="M72" s="3">
        <f t="shared" si="34"/>
        <v>22.976980949999998</v>
      </c>
      <c r="N72" s="2">
        <f t="shared" si="35"/>
        <v>656.84956859827639</v>
      </c>
      <c r="Q72" s="1">
        <f t="shared" si="28"/>
        <v>71</v>
      </c>
      <c r="R72">
        <f t="shared" si="29"/>
        <v>71000</v>
      </c>
      <c r="S72">
        <f t="shared" si="43"/>
        <v>290</v>
      </c>
      <c r="T72">
        <f t="shared" si="43"/>
        <v>2.5</v>
      </c>
      <c r="U72">
        <f t="shared" si="43"/>
        <v>1.7</v>
      </c>
      <c r="V72">
        <f t="shared" si="43"/>
        <v>47</v>
      </c>
      <c r="W72">
        <f t="shared" si="43"/>
        <v>22</v>
      </c>
      <c r="Y72" s="2">
        <f t="shared" si="30"/>
        <v>878.70528072542447</v>
      </c>
      <c r="Z72">
        <f t="shared" si="36"/>
        <v>71000</v>
      </c>
      <c r="AA72">
        <f t="shared" si="37"/>
        <v>3300</v>
      </c>
      <c r="AB72" s="3">
        <f t="shared" si="38"/>
        <v>2.2976980949999999</v>
      </c>
      <c r="AC72" s="4">
        <f t="shared" si="39"/>
        <v>22.976980949999998</v>
      </c>
      <c r="AD72" s="2">
        <f t="shared" si="40"/>
        <v>606.5552807254245</v>
      </c>
      <c r="AE72" s="3">
        <f t="shared" si="41"/>
        <v>71</v>
      </c>
    </row>
    <row r="73" spans="1:31" x14ac:dyDescent="0.3">
      <c r="A73">
        <f t="shared" si="25"/>
        <v>72</v>
      </c>
      <c r="B73">
        <f t="shared" si="42"/>
        <v>72000</v>
      </c>
      <c r="C73">
        <f t="shared" si="44"/>
        <v>290</v>
      </c>
      <c r="D73">
        <f t="shared" si="44"/>
        <v>2.5</v>
      </c>
      <c r="E73">
        <f t="shared" si="44"/>
        <v>1.7</v>
      </c>
      <c r="F73">
        <f t="shared" si="44"/>
        <v>48</v>
      </c>
      <c r="G73">
        <f t="shared" si="44"/>
        <v>21</v>
      </c>
      <c r="I73" s="2">
        <f t="shared" si="27"/>
        <v>934.39391972046872</v>
      </c>
      <c r="J73">
        <f t="shared" si="31"/>
        <v>72000</v>
      </c>
      <c r="K73">
        <f t="shared" si="32"/>
        <v>3300</v>
      </c>
      <c r="L73" s="3">
        <f t="shared" si="33"/>
        <v>2.3300600400000002</v>
      </c>
      <c r="M73" s="3">
        <f t="shared" si="34"/>
        <v>23.3006004</v>
      </c>
      <c r="N73" s="2">
        <f t="shared" si="35"/>
        <v>662.24391972046874</v>
      </c>
      <c r="Q73" s="1">
        <f t="shared" si="28"/>
        <v>72</v>
      </c>
      <c r="R73">
        <f t="shared" si="29"/>
        <v>72000</v>
      </c>
      <c r="S73">
        <f t="shared" si="43"/>
        <v>290</v>
      </c>
      <c r="T73">
        <f t="shared" si="43"/>
        <v>2.5</v>
      </c>
      <c r="U73">
        <f t="shared" si="43"/>
        <v>1.7</v>
      </c>
      <c r="V73">
        <f t="shared" si="43"/>
        <v>47</v>
      </c>
      <c r="W73">
        <f t="shared" si="43"/>
        <v>22</v>
      </c>
      <c r="Y73" s="2">
        <f t="shared" si="30"/>
        <v>883.12539281235661</v>
      </c>
      <c r="Z73">
        <f t="shared" si="36"/>
        <v>72000</v>
      </c>
      <c r="AA73">
        <f t="shared" si="37"/>
        <v>3300</v>
      </c>
      <c r="AB73" s="3">
        <f t="shared" si="38"/>
        <v>2.3300600400000002</v>
      </c>
      <c r="AC73" s="4">
        <f t="shared" si="39"/>
        <v>23.3006004</v>
      </c>
      <c r="AD73" s="2">
        <f t="shared" si="40"/>
        <v>610.97539281235663</v>
      </c>
      <c r="AE73" s="3">
        <f t="shared" si="41"/>
        <v>72</v>
      </c>
    </row>
    <row r="74" spans="1:31" x14ac:dyDescent="0.3">
      <c r="A74">
        <f t="shared" si="25"/>
        <v>73</v>
      </c>
      <c r="B74">
        <f t="shared" si="42"/>
        <v>73000</v>
      </c>
      <c r="C74">
        <f t="shared" si="44"/>
        <v>290</v>
      </c>
      <c r="D74">
        <f t="shared" si="44"/>
        <v>2.5</v>
      </c>
      <c r="E74">
        <f t="shared" si="44"/>
        <v>1.7</v>
      </c>
      <c r="F74">
        <f t="shared" si="44"/>
        <v>48</v>
      </c>
      <c r="G74">
        <f t="shared" si="44"/>
        <v>21</v>
      </c>
      <c r="I74" s="2">
        <f t="shared" si="27"/>
        <v>939.76621207100084</v>
      </c>
      <c r="J74">
        <f t="shared" si="31"/>
        <v>73000</v>
      </c>
      <c r="K74">
        <f t="shared" si="32"/>
        <v>3300</v>
      </c>
      <c r="L74" s="3">
        <f t="shared" si="33"/>
        <v>2.3624219850000001</v>
      </c>
      <c r="M74" s="3">
        <f t="shared" si="34"/>
        <v>23.624219850000003</v>
      </c>
      <c r="N74" s="2">
        <f t="shared" si="35"/>
        <v>667.61621207100086</v>
      </c>
      <c r="Q74" s="1">
        <f t="shared" si="28"/>
        <v>73</v>
      </c>
      <c r="R74">
        <f t="shared" si="29"/>
        <v>73000</v>
      </c>
      <c r="S74">
        <f t="shared" si="43"/>
        <v>290</v>
      </c>
      <c r="T74">
        <f t="shared" si="43"/>
        <v>2.5</v>
      </c>
      <c r="U74">
        <f t="shared" si="43"/>
        <v>1.7</v>
      </c>
      <c r="V74">
        <f t="shared" si="43"/>
        <v>47</v>
      </c>
      <c r="W74">
        <f t="shared" si="43"/>
        <v>22</v>
      </c>
      <c r="Y74" s="2">
        <f t="shared" si="30"/>
        <v>887.5197264795213</v>
      </c>
      <c r="Z74">
        <f t="shared" si="36"/>
        <v>73000</v>
      </c>
      <c r="AA74">
        <f t="shared" si="37"/>
        <v>3300</v>
      </c>
      <c r="AB74" s="3">
        <f t="shared" si="38"/>
        <v>2.3624219850000001</v>
      </c>
      <c r="AC74" s="4">
        <f t="shared" si="39"/>
        <v>23.624219850000003</v>
      </c>
      <c r="AD74" s="2">
        <f t="shared" si="40"/>
        <v>615.36972647952132</v>
      </c>
      <c r="AE74" s="3">
        <f t="shared" si="41"/>
        <v>73</v>
      </c>
    </row>
    <row r="75" spans="1:31" x14ac:dyDescent="0.3">
      <c r="A75">
        <f t="shared" si="25"/>
        <v>74</v>
      </c>
      <c r="B75">
        <f t="shared" si="42"/>
        <v>74000</v>
      </c>
      <c r="C75">
        <f t="shared" si="44"/>
        <v>290</v>
      </c>
      <c r="D75">
        <f t="shared" si="44"/>
        <v>2.5</v>
      </c>
      <c r="E75">
        <f t="shared" si="44"/>
        <v>1.7</v>
      </c>
      <c r="F75">
        <f t="shared" si="44"/>
        <v>48</v>
      </c>
      <c r="G75">
        <f t="shared" si="44"/>
        <v>21</v>
      </c>
      <c r="I75" s="2">
        <f t="shared" si="27"/>
        <v>945.11747144992796</v>
      </c>
      <c r="J75">
        <f t="shared" si="31"/>
        <v>74000</v>
      </c>
      <c r="K75">
        <f t="shared" si="32"/>
        <v>3300</v>
      </c>
      <c r="L75" s="3">
        <f t="shared" si="33"/>
        <v>2.39478393</v>
      </c>
      <c r="M75" s="3">
        <f t="shared" si="34"/>
        <v>23.947839299999998</v>
      </c>
      <c r="N75" s="2">
        <f t="shared" si="35"/>
        <v>672.96747144992798</v>
      </c>
      <c r="Q75" s="1">
        <f t="shared" si="28"/>
        <v>74</v>
      </c>
      <c r="R75">
        <f t="shared" si="29"/>
        <v>74000</v>
      </c>
      <c r="S75">
        <f t="shared" si="43"/>
        <v>290</v>
      </c>
      <c r="T75">
        <f t="shared" si="43"/>
        <v>2.5</v>
      </c>
      <c r="U75">
        <f t="shared" si="43"/>
        <v>1.7</v>
      </c>
      <c r="V75">
        <f t="shared" si="43"/>
        <v>47</v>
      </c>
      <c r="W75">
        <f t="shared" si="43"/>
        <v>22</v>
      </c>
      <c r="Y75" s="2">
        <f t="shared" si="30"/>
        <v>891.88942724162291</v>
      </c>
      <c r="Z75">
        <f t="shared" si="36"/>
        <v>74000</v>
      </c>
      <c r="AA75">
        <f t="shared" si="37"/>
        <v>3300</v>
      </c>
      <c r="AB75" s="3">
        <f t="shared" si="38"/>
        <v>2.39478393</v>
      </c>
      <c r="AC75" s="4">
        <f t="shared" si="39"/>
        <v>23.947839299999998</v>
      </c>
      <c r="AD75" s="2">
        <f t="shared" si="40"/>
        <v>619.73942724162293</v>
      </c>
      <c r="AE75" s="3">
        <f t="shared" si="41"/>
        <v>74</v>
      </c>
    </row>
    <row r="76" spans="1:31" x14ac:dyDescent="0.3">
      <c r="A76">
        <f t="shared" si="25"/>
        <v>75</v>
      </c>
      <c r="B76">
        <f t="shared" si="42"/>
        <v>75000</v>
      </c>
      <c r="C76">
        <f t="shared" si="44"/>
        <v>290</v>
      </c>
      <c r="D76">
        <f t="shared" si="44"/>
        <v>2.5</v>
      </c>
      <c r="E76">
        <f t="shared" si="44"/>
        <v>1.7</v>
      </c>
      <c r="F76">
        <f t="shared" si="44"/>
        <v>48</v>
      </c>
      <c r="G76">
        <f t="shared" si="44"/>
        <v>21</v>
      </c>
      <c r="I76" s="2">
        <f t="shared" si="27"/>
        <v>950.44867595447818</v>
      </c>
      <c r="J76">
        <f t="shared" si="31"/>
        <v>75000</v>
      </c>
      <c r="K76">
        <f t="shared" si="32"/>
        <v>3300</v>
      </c>
      <c r="L76" s="3">
        <f t="shared" si="33"/>
        <v>2.4271458749999999</v>
      </c>
      <c r="M76" s="3">
        <f t="shared" si="34"/>
        <v>24.271458750000001</v>
      </c>
      <c r="N76" s="2">
        <f t="shared" si="35"/>
        <v>678.2986759544782</v>
      </c>
      <c r="Q76" s="1">
        <f t="shared" si="28"/>
        <v>75</v>
      </c>
      <c r="R76">
        <f t="shared" si="29"/>
        <v>75000</v>
      </c>
      <c r="S76">
        <f t="shared" si="43"/>
        <v>290</v>
      </c>
      <c r="T76">
        <f t="shared" si="43"/>
        <v>2.5</v>
      </c>
      <c r="U76">
        <f t="shared" si="43"/>
        <v>1.7</v>
      </c>
      <c r="V76">
        <f t="shared" si="43"/>
        <v>47</v>
      </c>
      <c r="W76">
        <f t="shared" si="43"/>
        <v>22</v>
      </c>
      <c r="Y76" s="2">
        <f t="shared" si="30"/>
        <v>896.23558971017042</v>
      </c>
      <c r="Z76">
        <f t="shared" si="36"/>
        <v>75000</v>
      </c>
      <c r="AA76">
        <f t="shared" si="37"/>
        <v>3300</v>
      </c>
      <c r="AB76" s="3">
        <f t="shared" si="38"/>
        <v>2.4271458749999999</v>
      </c>
      <c r="AC76" s="4">
        <f t="shared" si="39"/>
        <v>24.271458750000001</v>
      </c>
      <c r="AD76" s="2">
        <f t="shared" si="40"/>
        <v>624.08558971017044</v>
      </c>
      <c r="AE76" s="3">
        <f t="shared" si="41"/>
        <v>75</v>
      </c>
    </row>
    <row r="77" spans="1:31" x14ac:dyDescent="0.3">
      <c r="A77">
        <f t="shared" si="25"/>
        <v>76</v>
      </c>
      <c r="B77">
        <f t="shared" si="42"/>
        <v>76000</v>
      </c>
      <c r="C77">
        <f t="shared" si="44"/>
        <v>290</v>
      </c>
      <c r="D77">
        <f t="shared" si="44"/>
        <v>2.5</v>
      </c>
      <c r="E77">
        <f t="shared" si="44"/>
        <v>1.7</v>
      </c>
      <c r="F77">
        <f t="shared" si="44"/>
        <v>48</v>
      </c>
      <c r="G77">
        <f t="shared" si="44"/>
        <v>21</v>
      </c>
      <c r="I77" s="2">
        <f t="shared" si="27"/>
        <v>955.76075819738082</v>
      </c>
      <c r="J77">
        <f t="shared" si="31"/>
        <v>76000</v>
      </c>
      <c r="K77">
        <f t="shared" si="32"/>
        <v>3300</v>
      </c>
      <c r="L77" s="3">
        <f t="shared" si="33"/>
        <v>2.4595078199999998</v>
      </c>
      <c r="M77" s="3">
        <f t="shared" si="34"/>
        <v>24.595078199999996</v>
      </c>
      <c r="N77" s="2">
        <f t="shared" si="35"/>
        <v>683.61075819738085</v>
      </c>
      <c r="Q77" s="1">
        <f t="shared" si="28"/>
        <v>76</v>
      </c>
      <c r="R77">
        <f t="shared" si="29"/>
        <v>76000</v>
      </c>
      <c r="S77">
        <f t="shared" si="43"/>
        <v>290</v>
      </c>
      <c r="T77">
        <f t="shared" si="43"/>
        <v>2.5</v>
      </c>
      <c r="U77">
        <f t="shared" si="43"/>
        <v>1.7</v>
      </c>
      <c r="V77">
        <f t="shared" si="43"/>
        <v>47</v>
      </c>
      <c r="W77">
        <f t="shared" si="43"/>
        <v>22</v>
      </c>
      <c r="Y77" s="2">
        <f t="shared" si="30"/>
        <v>900.5592598554606</v>
      </c>
      <c r="Z77">
        <f t="shared" si="36"/>
        <v>76000</v>
      </c>
      <c r="AA77">
        <f t="shared" si="37"/>
        <v>3300</v>
      </c>
      <c r="AB77" s="3">
        <f t="shared" si="38"/>
        <v>2.4595078199999998</v>
      </c>
      <c r="AC77" s="4">
        <f t="shared" si="39"/>
        <v>24.595078199999996</v>
      </c>
      <c r="AD77" s="2">
        <f t="shared" si="40"/>
        <v>628.40925985546062</v>
      </c>
      <c r="AE77" s="3">
        <f t="shared" si="41"/>
        <v>76</v>
      </c>
    </row>
    <row r="78" spans="1:31" x14ac:dyDescent="0.3">
      <c r="A78">
        <f t="shared" si="25"/>
        <v>77</v>
      </c>
      <c r="B78">
        <f t="shared" si="42"/>
        <v>77000</v>
      </c>
      <c r="C78">
        <f t="shared" si="44"/>
        <v>290</v>
      </c>
      <c r="D78">
        <f t="shared" si="44"/>
        <v>2.5</v>
      </c>
      <c r="E78">
        <f t="shared" si="44"/>
        <v>1.7</v>
      </c>
      <c r="F78">
        <f t="shared" si="44"/>
        <v>48</v>
      </c>
      <c r="G78">
        <f t="shared" si="44"/>
        <v>21</v>
      </c>
      <c r="I78" s="2">
        <f t="shared" si="27"/>
        <v>961.0546074220324</v>
      </c>
      <c r="J78">
        <f t="shared" si="31"/>
        <v>77000</v>
      </c>
      <c r="K78">
        <f t="shared" si="32"/>
        <v>3300</v>
      </c>
      <c r="L78" s="3">
        <f t="shared" si="33"/>
        <v>2.4918697650000001</v>
      </c>
      <c r="M78" s="3">
        <f t="shared" si="34"/>
        <v>24.918697650000002</v>
      </c>
      <c r="N78" s="2">
        <f t="shared" si="35"/>
        <v>688.90460742203243</v>
      </c>
      <c r="Q78" s="1">
        <f t="shared" si="28"/>
        <v>77</v>
      </c>
      <c r="R78">
        <f t="shared" si="29"/>
        <v>77000</v>
      </c>
      <c r="S78">
        <f t="shared" si="43"/>
        <v>290</v>
      </c>
      <c r="T78">
        <f t="shared" si="43"/>
        <v>2.5</v>
      </c>
      <c r="U78">
        <f t="shared" si="43"/>
        <v>1.7</v>
      </c>
      <c r="V78">
        <f t="shared" si="43"/>
        <v>47</v>
      </c>
      <c r="W78">
        <f t="shared" si="43"/>
        <v>22</v>
      </c>
      <c r="Y78" s="2">
        <f t="shared" si="30"/>
        <v>904.86143716804668</v>
      </c>
      <c r="Z78">
        <f t="shared" si="36"/>
        <v>77000</v>
      </c>
      <c r="AA78">
        <f t="shared" si="37"/>
        <v>3300</v>
      </c>
      <c r="AB78" s="3">
        <f t="shared" si="38"/>
        <v>2.4918697650000001</v>
      </c>
      <c r="AC78" s="4">
        <f t="shared" si="39"/>
        <v>24.918697650000002</v>
      </c>
      <c r="AD78" s="2">
        <f t="shared" si="40"/>
        <v>632.7114371680467</v>
      </c>
      <c r="AE78" s="3">
        <f t="shared" si="41"/>
        <v>77</v>
      </c>
    </row>
    <row r="79" spans="1:31" x14ac:dyDescent="0.3">
      <c r="A79">
        <f t="shared" si="25"/>
        <v>78</v>
      </c>
      <c r="B79">
        <f t="shared" si="42"/>
        <v>78000</v>
      </c>
      <c r="C79">
        <f t="shared" si="44"/>
        <v>290</v>
      </c>
      <c r="D79">
        <f t="shared" si="44"/>
        <v>2.5</v>
      </c>
      <c r="E79">
        <f t="shared" si="44"/>
        <v>1.7</v>
      </c>
      <c r="F79">
        <f t="shared" si="44"/>
        <v>48</v>
      </c>
      <c r="G79">
        <f t="shared" si="44"/>
        <v>21</v>
      </c>
      <c r="I79" s="2">
        <f t="shared" si="27"/>
        <v>966.33107151930471</v>
      </c>
      <c r="J79">
        <f t="shared" si="31"/>
        <v>78000</v>
      </c>
      <c r="K79">
        <f t="shared" si="32"/>
        <v>3300</v>
      </c>
      <c r="L79" s="3">
        <f t="shared" si="33"/>
        <v>2.52423171</v>
      </c>
      <c r="M79" s="3">
        <f t="shared" si="34"/>
        <v>25.242317100000001</v>
      </c>
      <c r="N79" s="2">
        <f t="shared" si="35"/>
        <v>694.18107151930474</v>
      </c>
      <c r="Q79" s="1">
        <f t="shared" si="28"/>
        <v>78</v>
      </c>
      <c r="R79">
        <f t="shared" si="29"/>
        <v>78000</v>
      </c>
      <c r="S79">
        <f t="shared" si="43"/>
        <v>290</v>
      </c>
      <c r="T79">
        <f t="shared" si="43"/>
        <v>2.5</v>
      </c>
      <c r="U79">
        <f t="shared" si="43"/>
        <v>1.7</v>
      </c>
      <c r="V79">
        <f t="shared" si="43"/>
        <v>47</v>
      </c>
      <c r="W79">
        <f t="shared" si="43"/>
        <v>22</v>
      </c>
      <c r="Y79" s="2">
        <f t="shared" si="30"/>
        <v>909.14307672415555</v>
      </c>
      <c r="Z79">
        <f t="shared" si="36"/>
        <v>78000</v>
      </c>
      <c r="AA79">
        <f t="shared" si="37"/>
        <v>3300</v>
      </c>
      <c r="AB79" s="3">
        <f t="shared" si="38"/>
        <v>2.52423171</v>
      </c>
      <c r="AC79" s="4">
        <f t="shared" si="39"/>
        <v>25.242317100000001</v>
      </c>
      <c r="AD79" s="2">
        <f t="shared" si="40"/>
        <v>636.99307672415557</v>
      </c>
      <c r="AE79" s="3">
        <f t="shared" si="41"/>
        <v>78</v>
      </c>
    </row>
    <row r="80" spans="1:31" x14ac:dyDescent="0.3">
      <c r="A80">
        <f t="shared" si="25"/>
        <v>79</v>
      </c>
      <c r="B80">
        <f t="shared" si="42"/>
        <v>79000</v>
      </c>
      <c r="C80">
        <f t="shared" si="44"/>
        <v>290</v>
      </c>
      <c r="D80">
        <f t="shared" si="44"/>
        <v>2.5</v>
      </c>
      <c r="E80">
        <f t="shared" si="44"/>
        <v>1.7</v>
      </c>
      <c r="F80">
        <f t="shared" si="44"/>
        <v>48</v>
      </c>
      <c r="G80">
        <f t="shared" si="44"/>
        <v>21</v>
      </c>
      <c r="I80" s="2">
        <f t="shared" si="27"/>
        <v>971.59095895056157</v>
      </c>
      <c r="J80">
        <f t="shared" si="31"/>
        <v>79000</v>
      </c>
      <c r="K80">
        <f t="shared" si="32"/>
        <v>3300</v>
      </c>
      <c r="L80" s="3">
        <f t="shared" si="33"/>
        <v>2.5565936549999999</v>
      </c>
      <c r="M80" s="3">
        <f t="shared" si="34"/>
        <v>25.56593655</v>
      </c>
      <c r="N80" s="2">
        <f t="shared" si="35"/>
        <v>699.44095895056159</v>
      </c>
      <c r="Q80" s="1">
        <f t="shared" si="28"/>
        <v>79</v>
      </c>
      <c r="R80">
        <f t="shared" si="29"/>
        <v>79000</v>
      </c>
      <c r="S80">
        <f t="shared" si="43"/>
        <v>290</v>
      </c>
      <c r="T80">
        <f t="shared" si="43"/>
        <v>2.5</v>
      </c>
      <c r="U80">
        <f t="shared" si="43"/>
        <v>1.7</v>
      </c>
      <c r="V80">
        <f t="shared" si="43"/>
        <v>47</v>
      </c>
      <c r="W80">
        <f t="shared" si="43"/>
        <v>22</v>
      </c>
      <c r="Y80" s="2">
        <f t="shared" si="30"/>
        <v>913.40509115932707</v>
      </c>
      <c r="Z80">
        <f t="shared" si="36"/>
        <v>79000</v>
      </c>
      <c r="AA80">
        <f t="shared" si="37"/>
        <v>3300</v>
      </c>
      <c r="AB80" s="3">
        <f t="shared" si="38"/>
        <v>2.5565936549999999</v>
      </c>
      <c r="AC80" s="4">
        <f t="shared" si="39"/>
        <v>25.56593655</v>
      </c>
      <c r="AD80" s="2">
        <f t="shared" si="40"/>
        <v>641.25509115932709</v>
      </c>
      <c r="AE80" s="3">
        <f t="shared" si="41"/>
        <v>79</v>
      </c>
    </row>
    <row r="81" spans="1:31" x14ac:dyDescent="0.3">
      <c r="A81">
        <f t="shared" si="25"/>
        <v>80</v>
      </c>
      <c r="B81">
        <f t="shared" si="42"/>
        <v>80000</v>
      </c>
      <c r="C81">
        <f t="shared" si="44"/>
        <v>290</v>
      </c>
      <c r="D81">
        <f t="shared" si="44"/>
        <v>2.5</v>
      </c>
      <c r="E81">
        <f t="shared" si="44"/>
        <v>1.7</v>
      </c>
      <c r="F81">
        <f t="shared" si="44"/>
        <v>48</v>
      </c>
      <c r="G81">
        <f t="shared" si="44"/>
        <v>21</v>
      </c>
      <c r="I81" s="2">
        <f t="shared" si="27"/>
        <v>976.83504058125106</v>
      </c>
      <c r="J81">
        <f t="shared" si="31"/>
        <v>80000</v>
      </c>
      <c r="K81">
        <f t="shared" si="32"/>
        <v>3300</v>
      </c>
      <c r="L81" s="3">
        <f t="shared" si="33"/>
        <v>2.5889555999999998</v>
      </c>
      <c r="M81" s="3">
        <f t="shared" si="34"/>
        <v>25.889555999999999</v>
      </c>
      <c r="N81" s="2">
        <f t="shared" si="35"/>
        <v>704.68504058125109</v>
      </c>
      <c r="Q81" s="1">
        <f t="shared" si="28"/>
        <v>80</v>
      </c>
      <c r="R81">
        <f t="shared" si="29"/>
        <v>80000</v>
      </c>
      <c r="S81">
        <f t="shared" si="43"/>
        <v>290</v>
      </c>
      <c r="T81">
        <f t="shared" si="43"/>
        <v>2.5</v>
      </c>
      <c r="U81">
        <f t="shared" si="43"/>
        <v>1.7</v>
      </c>
      <c r="V81">
        <f t="shared" si="43"/>
        <v>47</v>
      </c>
      <c r="W81">
        <f t="shared" si="43"/>
        <v>22</v>
      </c>
      <c r="Y81" s="2">
        <f t="shared" si="30"/>
        <v>917.64835255434866</v>
      </c>
      <c r="Z81">
        <f t="shared" si="36"/>
        <v>80000</v>
      </c>
      <c r="AA81">
        <f t="shared" si="37"/>
        <v>3300</v>
      </c>
      <c r="AB81" s="3">
        <f t="shared" si="38"/>
        <v>2.5889555999999998</v>
      </c>
      <c r="AC81" s="4">
        <f t="shared" si="39"/>
        <v>25.889555999999999</v>
      </c>
      <c r="AD81" s="2">
        <f t="shared" si="40"/>
        <v>645.49835255434868</v>
      </c>
      <c r="AE81" s="3">
        <f t="shared" si="41"/>
        <v>80</v>
      </c>
    </row>
    <row r="82" spans="1:31" x14ac:dyDescent="0.3">
      <c r="A82">
        <f t="shared" si="25"/>
        <v>81</v>
      </c>
      <c r="B82">
        <f t="shared" si="42"/>
        <v>81000</v>
      </c>
      <c r="C82">
        <f t="shared" si="44"/>
        <v>290</v>
      </c>
      <c r="D82">
        <f t="shared" si="44"/>
        <v>2.5</v>
      </c>
      <c r="E82">
        <f t="shared" si="44"/>
        <v>1.7</v>
      </c>
      <c r="F82">
        <f t="shared" si="44"/>
        <v>48</v>
      </c>
      <c r="G82">
        <f t="shared" si="44"/>
        <v>21</v>
      </c>
      <c r="I82" s="2">
        <f t="shared" si="27"/>
        <v>982.06405142923086</v>
      </c>
      <c r="J82">
        <f t="shared" si="31"/>
        <v>81000</v>
      </c>
      <c r="K82">
        <f t="shared" si="32"/>
        <v>3300</v>
      </c>
      <c r="L82" s="3">
        <f t="shared" si="33"/>
        <v>2.6213175450000001</v>
      </c>
      <c r="M82" s="3">
        <f t="shared" si="34"/>
        <v>26.213175450000001</v>
      </c>
      <c r="N82" s="2">
        <f t="shared" si="35"/>
        <v>709.91405142923088</v>
      </c>
      <c r="Q82" s="1">
        <f t="shared" si="28"/>
        <v>81</v>
      </c>
      <c r="R82">
        <f t="shared" si="29"/>
        <v>81000</v>
      </c>
      <c r="S82">
        <f t="shared" si="43"/>
        <v>290</v>
      </c>
      <c r="T82">
        <f t="shared" si="43"/>
        <v>2.5</v>
      </c>
      <c r="U82">
        <f t="shared" si="43"/>
        <v>1.7</v>
      </c>
      <c r="V82">
        <f t="shared" si="43"/>
        <v>47</v>
      </c>
      <c r="W82">
        <f t="shared" si="43"/>
        <v>22</v>
      </c>
      <c r="Y82" s="2">
        <f t="shared" si="30"/>
        <v>921.87369423738528</v>
      </c>
      <c r="Z82">
        <f t="shared" si="36"/>
        <v>81000</v>
      </c>
      <c r="AA82">
        <f t="shared" si="37"/>
        <v>3300</v>
      </c>
      <c r="AB82" s="3">
        <f t="shared" si="38"/>
        <v>2.6213175450000001</v>
      </c>
      <c r="AC82" s="4">
        <f t="shared" si="39"/>
        <v>26.213175450000001</v>
      </c>
      <c r="AD82" s="2">
        <f t="shared" si="40"/>
        <v>649.7236942373853</v>
      </c>
      <c r="AE82" s="3">
        <f t="shared" si="41"/>
        <v>81</v>
      </c>
    </row>
    <row r="83" spans="1:31" x14ac:dyDescent="0.3">
      <c r="A83">
        <f t="shared" si="25"/>
        <v>82</v>
      </c>
      <c r="B83">
        <f t="shared" si="42"/>
        <v>82000</v>
      </c>
      <c r="C83">
        <f t="shared" si="44"/>
        <v>290</v>
      </c>
      <c r="D83">
        <f t="shared" si="44"/>
        <v>2.5</v>
      </c>
      <c r="E83">
        <f t="shared" si="44"/>
        <v>1.7</v>
      </c>
      <c r="F83">
        <f t="shared" si="44"/>
        <v>48</v>
      </c>
      <c r="G83">
        <f t="shared" si="44"/>
        <v>21</v>
      </c>
      <c r="I83" s="2">
        <f t="shared" si="27"/>
        <v>987.2786923317899</v>
      </c>
      <c r="J83">
        <f t="shared" si="31"/>
        <v>82000</v>
      </c>
      <c r="K83">
        <f t="shared" si="32"/>
        <v>3300</v>
      </c>
      <c r="L83" s="3">
        <f t="shared" si="33"/>
        <v>2.65367949</v>
      </c>
      <c r="M83" s="3">
        <f t="shared" si="34"/>
        <v>26.5367949</v>
      </c>
      <c r="N83" s="2">
        <f t="shared" si="35"/>
        <v>715.12869233178992</v>
      </c>
      <c r="Q83" s="1">
        <f t="shared" si="28"/>
        <v>82</v>
      </c>
      <c r="R83">
        <f t="shared" si="29"/>
        <v>82000</v>
      </c>
      <c r="S83">
        <f t="shared" si="43"/>
        <v>290</v>
      </c>
      <c r="T83">
        <f t="shared" si="43"/>
        <v>2.5</v>
      </c>
      <c r="U83">
        <f t="shared" si="43"/>
        <v>1.7</v>
      </c>
      <c r="V83">
        <f t="shared" si="43"/>
        <v>47</v>
      </c>
      <c r="W83">
        <f t="shared" si="43"/>
        <v>22</v>
      </c>
      <c r="Y83" s="2">
        <f t="shared" si="30"/>
        <v>926.08191250602874</v>
      </c>
      <c r="Z83">
        <f t="shared" si="36"/>
        <v>82000</v>
      </c>
      <c r="AA83">
        <f t="shared" si="37"/>
        <v>3300</v>
      </c>
      <c r="AB83" s="3">
        <f t="shared" si="38"/>
        <v>2.65367949</v>
      </c>
      <c r="AC83" s="4">
        <f t="shared" si="39"/>
        <v>26.5367949</v>
      </c>
      <c r="AD83" s="2">
        <f t="shared" si="40"/>
        <v>653.93191250602877</v>
      </c>
      <c r="AE83" s="3">
        <f t="shared" si="41"/>
        <v>82</v>
      </c>
    </row>
    <row r="84" spans="1:31" x14ac:dyDescent="0.3">
      <c r="A84">
        <f t="shared" si="25"/>
        <v>83</v>
      </c>
      <c r="B84">
        <f t="shared" si="42"/>
        <v>83000</v>
      </c>
      <c r="C84">
        <f t="shared" si="44"/>
        <v>290</v>
      </c>
      <c r="D84">
        <f t="shared" si="44"/>
        <v>2.5</v>
      </c>
      <c r="E84">
        <f t="shared" si="44"/>
        <v>1.7</v>
      </c>
      <c r="F84">
        <f t="shared" si="44"/>
        <v>48</v>
      </c>
      <c r="G84">
        <f t="shared" si="44"/>
        <v>21</v>
      </c>
      <c r="I84" s="2">
        <f t="shared" si="27"/>
        <v>992.47963153514957</v>
      </c>
      <c r="J84">
        <f t="shared" si="31"/>
        <v>83000</v>
      </c>
      <c r="K84">
        <f t="shared" si="32"/>
        <v>3300</v>
      </c>
      <c r="L84" s="3">
        <f t="shared" si="33"/>
        <v>2.6860414349999999</v>
      </c>
      <c r="M84" s="3">
        <f t="shared" si="34"/>
        <v>26.860414349999999</v>
      </c>
      <c r="N84" s="2">
        <f t="shared" si="35"/>
        <v>720.32963153514959</v>
      </c>
      <c r="Q84" s="1">
        <f t="shared" si="28"/>
        <v>83</v>
      </c>
      <c r="R84">
        <f t="shared" si="29"/>
        <v>83000</v>
      </c>
      <c r="S84">
        <f t="shared" ref="S84:W99" si="45">S83</f>
        <v>290</v>
      </c>
      <c r="T84">
        <f t="shared" si="45"/>
        <v>2.5</v>
      </c>
      <c r="U84">
        <f t="shared" si="45"/>
        <v>1.7</v>
      </c>
      <c r="V84">
        <f t="shared" si="45"/>
        <v>47</v>
      </c>
      <c r="W84">
        <f t="shared" si="45"/>
        <v>22</v>
      </c>
      <c r="Y84" s="2">
        <f t="shared" si="30"/>
        <v>930.27376827282262</v>
      </c>
      <c r="Z84">
        <f t="shared" si="36"/>
        <v>83000</v>
      </c>
      <c r="AA84">
        <f t="shared" si="37"/>
        <v>3300</v>
      </c>
      <c r="AB84" s="3">
        <f t="shared" si="38"/>
        <v>2.6860414349999999</v>
      </c>
      <c r="AC84" s="4">
        <f t="shared" si="39"/>
        <v>26.860414349999999</v>
      </c>
      <c r="AD84" s="2">
        <f t="shared" si="40"/>
        <v>658.12376827282264</v>
      </c>
      <c r="AE84" s="3">
        <f t="shared" si="41"/>
        <v>83</v>
      </c>
    </row>
    <row r="85" spans="1:31" x14ac:dyDescent="0.3">
      <c r="A85">
        <f t="shared" si="25"/>
        <v>84</v>
      </c>
      <c r="B85">
        <f t="shared" si="42"/>
        <v>84000</v>
      </c>
      <c r="C85">
        <f t="shared" ref="C85:G100" si="46">C84</f>
        <v>290</v>
      </c>
      <c r="D85">
        <f t="shared" si="46"/>
        <v>2.5</v>
      </c>
      <c r="E85">
        <f t="shared" si="46"/>
        <v>1.7</v>
      </c>
      <c r="F85">
        <f t="shared" si="46"/>
        <v>48</v>
      </c>
      <c r="G85">
        <f t="shared" si="46"/>
        <v>21</v>
      </c>
      <c r="I85" s="2">
        <f t="shared" si="27"/>
        <v>997.66750621004633</v>
      </c>
      <c r="J85">
        <f t="shared" si="31"/>
        <v>84000</v>
      </c>
      <c r="K85">
        <f t="shared" si="32"/>
        <v>3300</v>
      </c>
      <c r="L85" s="3">
        <f t="shared" si="33"/>
        <v>2.7184033799999998</v>
      </c>
      <c r="M85" s="3">
        <f t="shared" si="34"/>
        <v>27.184033799999998</v>
      </c>
      <c r="N85" s="2">
        <f t="shared" si="35"/>
        <v>725.51750621004635</v>
      </c>
      <c r="Q85" s="1">
        <f t="shared" si="28"/>
        <v>84</v>
      </c>
      <c r="R85">
        <f t="shared" si="29"/>
        <v>84000</v>
      </c>
      <c r="S85">
        <f t="shared" si="45"/>
        <v>290</v>
      </c>
      <c r="T85">
        <f t="shared" si="45"/>
        <v>2.5</v>
      </c>
      <c r="U85">
        <f t="shared" si="45"/>
        <v>1.7</v>
      </c>
      <c r="V85">
        <f t="shared" si="45"/>
        <v>47</v>
      </c>
      <c r="W85">
        <f t="shared" si="45"/>
        <v>22</v>
      </c>
      <c r="Y85" s="2">
        <f t="shared" si="30"/>
        <v>934.44998863766898</v>
      </c>
      <c r="Z85">
        <f t="shared" si="36"/>
        <v>84000</v>
      </c>
      <c r="AA85">
        <f t="shared" si="37"/>
        <v>3300</v>
      </c>
      <c r="AB85" s="3">
        <f t="shared" si="38"/>
        <v>2.7184033799999998</v>
      </c>
      <c r="AC85" s="4">
        <f t="shared" si="39"/>
        <v>27.184033799999998</v>
      </c>
      <c r="AD85" s="2">
        <f t="shared" si="40"/>
        <v>662.299988637669</v>
      </c>
      <c r="AE85" s="3">
        <f t="shared" si="41"/>
        <v>84</v>
      </c>
    </row>
    <row r="86" spans="1:31" x14ac:dyDescent="0.3">
      <c r="A86">
        <f t="shared" si="25"/>
        <v>85</v>
      </c>
      <c r="B86">
        <f t="shared" si="42"/>
        <v>85000</v>
      </c>
      <c r="C86">
        <f t="shared" si="46"/>
        <v>290</v>
      </c>
      <c r="D86">
        <f t="shared" si="46"/>
        <v>2.5</v>
      </c>
      <c r="E86">
        <f t="shared" si="46"/>
        <v>1.7</v>
      </c>
      <c r="F86">
        <f t="shared" si="46"/>
        <v>48</v>
      </c>
      <c r="G86">
        <f t="shared" si="46"/>
        <v>21</v>
      </c>
      <c r="I86" s="2">
        <f t="shared" si="27"/>
        <v>1002.8429238968374</v>
      </c>
      <c r="J86">
        <f t="shared" si="31"/>
        <v>85000</v>
      </c>
      <c r="K86">
        <f t="shared" si="32"/>
        <v>3300</v>
      </c>
      <c r="L86" s="3">
        <f t="shared" si="33"/>
        <v>2.7507653250000001</v>
      </c>
      <c r="M86" s="3">
        <f t="shared" si="34"/>
        <v>27.507653250000001</v>
      </c>
      <c r="N86" s="2">
        <f t="shared" si="35"/>
        <v>730.69292389683744</v>
      </c>
      <c r="Q86" s="1">
        <f t="shared" si="28"/>
        <v>85</v>
      </c>
      <c r="R86">
        <f t="shared" si="29"/>
        <v>85000</v>
      </c>
      <c r="S86">
        <f t="shared" si="45"/>
        <v>290</v>
      </c>
      <c r="T86">
        <f t="shared" si="45"/>
        <v>2.5</v>
      </c>
      <c r="U86">
        <f t="shared" si="45"/>
        <v>1.7</v>
      </c>
      <c r="V86">
        <f t="shared" si="45"/>
        <v>47</v>
      </c>
      <c r="W86">
        <f t="shared" si="45"/>
        <v>22</v>
      </c>
      <c r="Y86" s="2">
        <f t="shared" si="30"/>
        <v>938.61126839035671</v>
      </c>
      <c r="Z86">
        <f t="shared" si="36"/>
        <v>85000</v>
      </c>
      <c r="AA86">
        <f t="shared" si="37"/>
        <v>3300</v>
      </c>
      <c r="AB86" s="3">
        <f t="shared" si="38"/>
        <v>2.7507653250000001</v>
      </c>
      <c r="AC86" s="4">
        <f t="shared" si="39"/>
        <v>27.507653250000001</v>
      </c>
      <c r="AD86" s="2">
        <f t="shared" si="40"/>
        <v>666.46126839035674</v>
      </c>
      <c r="AE86" s="3">
        <f t="shared" si="41"/>
        <v>85</v>
      </c>
    </row>
    <row r="87" spans="1:31" x14ac:dyDescent="0.3">
      <c r="A87">
        <f t="shared" si="25"/>
        <v>86</v>
      </c>
      <c r="B87">
        <f t="shared" si="42"/>
        <v>86000</v>
      </c>
      <c r="C87">
        <f t="shared" si="46"/>
        <v>290</v>
      </c>
      <c r="D87">
        <f t="shared" si="46"/>
        <v>2.5</v>
      </c>
      <c r="E87">
        <f t="shared" si="46"/>
        <v>1.7</v>
      </c>
      <c r="F87">
        <f t="shared" si="46"/>
        <v>48</v>
      </c>
      <c r="G87">
        <f t="shared" si="46"/>
        <v>21</v>
      </c>
      <c r="I87" s="2">
        <f t="shared" si="27"/>
        <v>1008.0064638834035</v>
      </c>
      <c r="J87">
        <f t="shared" si="31"/>
        <v>86000</v>
      </c>
      <c r="K87">
        <f t="shared" si="32"/>
        <v>3300</v>
      </c>
      <c r="L87" s="3">
        <f t="shared" si="33"/>
        <v>2.78312727</v>
      </c>
      <c r="M87" s="3">
        <f t="shared" si="34"/>
        <v>27.8312727</v>
      </c>
      <c r="N87" s="2">
        <f t="shared" si="35"/>
        <v>735.85646388340353</v>
      </c>
      <c r="Q87" s="1">
        <f t="shared" si="28"/>
        <v>86</v>
      </c>
      <c r="R87">
        <f t="shared" si="29"/>
        <v>86000</v>
      </c>
      <c r="S87">
        <f t="shared" si="45"/>
        <v>290</v>
      </c>
      <c r="T87">
        <f t="shared" si="45"/>
        <v>2.5</v>
      </c>
      <c r="U87">
        <f t="shared" si="45"/>
        <v>1.7</v>
      </c>
      <c r="V87">
        <f t="shared" si="45"/>
        <v>47</v>
      </c>
      <c r="W87">
        <f t="shared" si="45"/>
        <v>22</v>
      </c>
      <c r="Y87" s="2">
        <f t="shared" si="30"/>
        <v>942.75827144632649</v>
      </c>
      <c r="Z87">
        <f t="shared" si="36"/>
        <v>86000</v>
      </c>
      <c r="AA87">
        <f t="shared" si="37"/>
        <v>3300</v>
      </c>
      <c r="AB87" s="3">
        <f t="shared" si="38"/>
        <v>2.78312727</v>
      </c>
      <c r="AC87" s="4">
        <f t="shared" si="39"/>
        <v>27.8312727</v>
      </c>
      <c r="AD87" s="2">
        <f t="shared" si="40"/>
        <v>670.60827144632651</v>
      </c>
      <c r="AE87" s="3">
        <f t="shared" si="41"/>
        <v>86</v>
      </c>
    </row>
    <row r="88" spans="1:31" x14ac:dyDescent="0.3">
      <c r="A88">
        <f t="shared" si="25"/>
        <v>87</v>
      </c>
      <c r="B88">
        <f t="shared" si="42"/>
        <v>87000</v>
      </c>
      <c r="C88">
        <f t="shared" si="46"/>
        <v>290</v>
      </c>
      <c r="D88">
        <f t="shared" si="46"/>
        <v>2.5</v>
      </c>
      <c r="E88">
        <f t="shared" si="46"/>
        <v>1.7</v>
      </c>
      <c r="F88">
        <f t="shared" si="46"/>
        <v>48</v>
      </c>
      <c r="G88">
        <f t="shared" si="46"/>
        <v>21</v>
      </c>
      <c r="I88" s="2">
        <f t="shared" si="27"/>
        <v>1013.1586785189738</v>
      </c>
      <c r="J88">
        <f t="shared" si="31"/>
        <v>87000</v>
      </c>
      <c r="K88">
        <f t="shared" si="32"/>
        <v>3300</v>
      </c>
      <c r="L88" s="3">
        <f t="shared" si="33"/>
        <v>2.8154892149999999</v>
      </c>
      <c r="M88" s="3">
        <f t="shared" si="34"/>
        <v>28.154892149999998</v>
      </c>
      <c r="N88" s="2">
        <f t="shared" si="35"/>
        <v>741.00867851897385</v>
      </c>
      <c r="Q88" s="1">
        <f t="shared" si="28"/>
        <v>87</v>
      </c>
      <c r="R88">
        <f t="shared" si="29"/>
        <v>87000</v>
      </c>
      <c r="S88">
        <f t="shared" si="45"/>
        <v>290</v>
      </c>
      <c r="T88">
        <f t="shared" si="45"/>
        <v>2.5</v>
      </c>
      <c r="U88">
        <f t="shared" si="45"/>
        <v>1.7</v>
      </c>
      <c r="V88">
        <f t="shared" si="45"/>
        <v>47</v>
      </c>
      <c r="W88">
        <f t="shared" si="45"/>
        <v>22</v>
      </c>
      <c r="Y88" s="2">
        <f t="shared" si="30"/>
        <v>946.89163221863294</v>
      </c>
      <c r="Z88">
        <f t="shared" si="36"/>
        <v>87000</v>
      </c>
      <c r="AA88">
        <f t="shared" si="37"/>
        <v>3300</v>
      </c>
      <c r="AB88" s="3">
        <f t="shared" si="38"/>
        <v>2.8154892149999999</v>
      </c>
      <c r="AC88" s="4">
        <f t="shared" si="39"/>
        <v>28.154892149999998</v>
      </c>
      <c r="AD88" s="2">
        <f t="shared" si="40"/>
        <v>674.74163221863296</v>
      </c>
      <c r="AE88" s="3">
        <f t="shared" si="41"/>
        <v>87</v>
      </c>
    </row>
    <row r="89" spans="1:31" x14ac:dyDescent="0.3">
      <c r="A89">
        <f t="shared" si="25"/>
        <v>88</v>
      </c>
      <c r="B89">
        <f t="shared" si="42"/>
        <v>88000</v>
      </c>
      <c r="C89">
        <f t="shared" si="46"/>
        <v>290</v>
      </c>
      <c r="D89">
        <f t="shared" si="46"/>
        <v>2.5</v>
      </c>
      <c r="E89">
        <f t="shared" si="46"/>
        <v>1.7</v>
      </c>
      <c r="F89">
        <f t="shared" si="46"/>
        <v>48</v>
      </c>
      <c r="G89">
        <f t="shared" si="46"/>
        <v>21</v>
      </c>
      <c r="I89" s="2">
        <f t="shared" si="27"/>
        <v>1018.3000944668585</v>
      </c>
      <c r="J89">
        <f t="shared" si="31"/>
        <v>88000</v>
      </c>
      <c r="K89">
        <f t="shared" si="32"/>
        <v>3300</v>
      </c>
      <c r="L89" s="3">
        <f t="shared" si="33"/>
        <v>2.8478511599999998</v>
      </c>
      <c r="M89" s="3">
        <f t="shared" si="34"/>
        <v>28.478511599999997</v>
      </c>
      <c r="N89" s="2">
        <f t="shared" si="35"/>
        <v>746.15009446685849</v>
      </c>
      <c r="Q89" s="1">
        <f t="shared" si="28"/>
        <v>88</v>
      </c>
      <c r="R89">
        <f t="shared" si="29"/>
        <v>88000</v>
      </c>
      <c r="S89">
        <f t="shared" si="45"/>
        <v>290</v>
      </c>
      <c r="T89">
        <f t="shared" si="45"/>
        <v>2.5</v>
      </c>
      <c r="U89">
        <f t="shared" si="45"/>
        <v>1.7</v>
      </c>
      <c r="V89">
        <f t="shared" si="45"/>
        <v>47</v>
      </c>
      <c r="W89">
        <f t="shared" si="45"/>
        <v>22</v>
      </c>
      <c r="Y89" s="2">
        <f t="shared" si="30"/>
        <v>951.01195692893987</v>
      </c>
      <c r="Z89">
        <f t="shared" si="36"/>
        <v>88000</v>
      </c>
      <c r="AA89">
        <f t="shared" si="37"/>
        <v>3300</v>
      </c>
      <c r="AB89" s="3">
        <f t="shared" si="38"/>
        <v>2.8478511599999998</v>
      </c>
      <c r="AC89" s="4">
        <f t="shared" si="39"/>
        <v>28.478511599999997</v>
      </c>
      <c r="AD89" s="2">
        <f t="shared" si="40"/>
        <v>678.86195692893989</v>
      </c>
      <c r="AE89" s="3">
        <f t="shared" si="41"/>
        <v>88</v>
      </c>
    </row>
    <row r="90" spans="1:31" x14ac:dyDescent="0.3">
      <c r="A90">
        <f t="shared" si="25"/>
        <v>89</v>
      </c>
      <c r="B90">
        <f t="shared" si="42"/>
        <v>89000</v>
      </c>
      <c r="C90">
        <f t="shared" si="46"/>
        <v>290</v>
      </c>
      <c r="D90">
        <f t="shared" si="46"/>
        <v>2.5</v>
      </c>
      <c r="E90">
        <f t="shared" si="46"/>
        <v>1.7</v>
      </c>
      <c r="F90">
        <f t="shared" si="46"/>
        <v>48</v>
      </c>
      <c r="G90">
        <f t="shared" si="46"/>
        <v>21</v>
      </c>
      <c r="I90" s="2">
        <f t="shared" si="27"/>
        <v>1023.4312138989179</v>
      </c>
      <c r="J90">
        <f t="shared" si="31"/>
        <v>89000</v>
      </c>
      <c r="K90">
        <f t="shared" si="32"/>
        <v>3300</v>
      </c>
      <c r="L90" s="3">
        <f t="shared" si="33"/>
        <v>2.8802131050000002</v>
      </c>
      <c r="M90" s="3">
        <f t="shared" si="34"/>
        <v>28.80213105</v>
      </c>
      <c r="N90" s="2">
        <f t="shared" si="35"/>
        <v>751.28121389891794</v>
      </c>
      <c r="Q90" s="1">
        <f t="shared" si="28"/>
        <v>89</v>
      </c>
      <c r="R90">
        <f t="shared" si="29"/>
        <v>89000</v>
      </c>
      <c r="S90">
        <f t="shared" si="45"/>
        <v>290</v>
      </c>
      <c r="T90">
        <f t="shared" si="45"/>
        <v>2.5</v>
      </c>
      <c r="U90">
        <f t="shared" si="45"/>
        <v>1.7</v>
      </c>
      <c r="V90">
        <f t="shared" si="45"/>
        <v>47</v>
      </c>
      <c r="W90">
        <f t="shared" si="45"/>
        <v>22</v>
      </c>
      <c r="Y90" s="2">
        <f t="shared" si="30"/>
        <v>955.11982486026159</v>
      </c>
      <c r="Z90">
        <f t="shared" si="36"/>
        <v>89000</v>
      </c>
      <c r="AA90">
        <f t="shared" si="37"/>
        <v>3300</v>
      </c>
      <c r="AB90" s="3">
        <f t="shared" si="38"/>
        <v>2.8802131050000002</v>
      </c>
      <c r="AC90" s="4">
        <f t="shared" si="39"/>
        <v>28.80213105</v>
      </c>
      <c r="AD90" s="2">
        <f t="shared" si="40"/>
        <v>682.96982486026161</v>
      </c>
      <c r="AE90" s="3">
        <f t="shared" si="41"/>
        <v>89</v>
      </c>
    </row>
    <row r="91" spans="1:31" x14ac:dyDescent="0.3">
      <c r="A91">
        <f t="shared" si="25"/>
        <v>90</v>
      </c>
      <c r="B91">
        <f t="shared" si="42"/>
        <v>90000</v>
      </c>
      <c r="C91">
        <f t="shared" si="46"/>
        <v>290</v>
      </c>
      <c r="D91">
        <f t="shared" si="46"/>
        <v>2.5</v>
      </c>
      <c r="E91">
        <f t="shared" si="46"/>
        <v>1.7</v>
      </c>
      <c r="F91">
        <f t="shared" si="46"/>
        <v>48</v>
      </c>
      <c r="G91">
        <f t="shared" si="46"/>
        <v>21</v>
      </c>
      <c r="I91" s="2">
        <f t="shared" si="27"/>
        <v>1028.5525156344929</v>
      </c>
      <c r="J91">
        <f t="shared" si="31"/>
        <v>90000</v>
      </c>
      <c r="K91">
        <f t="shared" si="32"/>
        <v>3300</v>
      </c>
      <c r="L91" s="3">
        <f t="shared" si="33"/>
        <v>2.9125750500000001</v>
      </c>
      <c r="M91" s="3">
        <f t="shared" si="34"/>
        <v>29.125750500000002</v>
      </c>
      <c r="N91" s="2">
        <f t="shared" si="35"/>
        <v>756.40251563449294</v>
      </c>
      <c r="Q91" s="1">
        <f t="shared" si="28"/>
        <v>90</v>
      </c>
      <c r="R91">
        <f t="shared" si="29"/>
        <v>90000</v>
      </c>
      <c r="S91">
        <f t="shared" si="45"/>
        <v>290</v>
      </c>
      <c r="T91">
        <f t="shared" si="45"/>
        <v>2.5</v>
      </c>
      <c r="U91">
        <f t="shared" si="45"/>
        <v>1.7</v>
      </c>
      <c r="V91">
        <f t="shared" si="45"/>
        <v>47</v>
      </c>
      <c r="W91">
        <f t="shared" si="45"/>
        <v>22</v>
      </c>
      <c r="Y91" s="2">
        <f t="shared" si="30"/>
        <v>959.21578955403459</v>
      </c>
      <c r="Z91">
        <f t="shared" si="36"/>
        <v>90000</v>
      </c>
      <c r="AA91">
        <f t="shared" si="37"/>
        <v>3300</v>
      </c>
      <c r="AB91" s="3">
        <f t="shared" si="38"/>
        <v>2.9125750500000001</v>
      </c>
      <c r="AC91" s="4">
        <f t="shared" si="39"/>
        <v>29.125750500000002</v>
      </c>
      <c r="AD91" s="2">
        <f t="shared" si="40"/>
        <v>687.06578955403461</v>
      </c>
      <c r="AE91" s="3">
        <f t="shared" si="41"/>
        <v>90</v>
      </c>
    </row>
    <row r="92" spans="1:31" x14ac:dyDescent="0.3">
      <c r="A92">
        <f t="shared" si="25"/>
        <v>91</v>
      </c>
      <c r="B92">
        <f t="shared" si="42"/>
        <v>91000</v>
      </c>
      <c r="C92">
        <f t="shared" si="46"/>
        <v>290</v>
      </c>
      <c r="D92">
        <f t="shared" si="46"/>
        <v>2.5</v>
      </c>
      <c r="E92">
        <f t="shared" si="46"/>
        <v>1.7</v>
      </c>
      <c r="F92">
        <f t="shared" si="46"/>
        <v>48</v>
      </c>
      <c r="G92">
        <f t="shared" si="46"/>
        <v>21</v>
      </c>
      <c r="I92" s="2">
        <f t="shared" si="27"/>
        <v>1033.6644562263664</v>
      </c>
      <c r="J92">
        <f t="shared" si="31"/>
        <v>91000</v>
      </c>
      <c r="K92">
        <f t="shared" si="32"/>
        <v>3300</v>
      </c>
      <c r="L92" s="3">
        <f t="shared" si="33"/>
        <v>2.9449369949999999</v>
      </c>
      <c r="M92" s="3">
        <f t="shared" si="34"/>
        <v>29.449369949999998</v>
      </c>
      <c r="N92" s="2">
        <f t="shared" si="35"/>
        <v>761.51445622636641</v>
      </c>
      <c r="Q92" s="1">
        <f t="shared" si="28"/>
        <v>91</v>
      </c>
      <c r="R92">
        <f t="shared" si="29"/>
        <v>91000</v>
      </c>
      <c r="S92">
        <f t="shared" si="45"/>
        <v>290</v>
      </c>
      <c r="T92">
        <f t="shared" si="45"/>
        <v>2.5</v>
      </c>
      <c r="U92">
        <f t="shared" si="45"/>
        <v>1.7</v>
      </c>
      <c r="V92">
        <f t="shared" si="45"/>
        <v>47</v>
      </c>
      <c r="W92">
        <f t="shared" si="45"/>
        <v>22</v>
      </c>
      <c r="Y92" s="2">
        <f t="shared" si="30"/>
        <v>963.30037995399357</v>
      </c>
      <c r="Z92">
        <f t="shared" si="36"/>
        <v>91000</v>
      </c>
      <c r="AA92">
        <f t="shared" si="37"/>
        <v>3300</v>
      </c>
      <c r="AB92" s="3">
        <f t="shared" si="38"/>
        <v>2.9449369949999999</v>
      </c>
      <c r="AC92" s="4">
        <f t="shared" si="39"/>
        <v>29.449369949999998</v>
      </c>
      <c r="AD92" s="2">
        <f t="shared" si="40"/>
        <v>691.15037995399359</v>
      </c>
      <c r="AE92" s="3">
        <f t="shared" si="41"/>
        <v>91</v>
      </c>
    </row>
    <row r="93" spans="1:31" x14ac:dyDescent="0.3">
      <c r="A93">
        <f t="shared" si="25"/>
        <v>92</v>
      </c>
      <c r="B93">
        <f t="shared" si="42"/>
        <v>92000</v>
      </c>
      <c r="C93">
        <f t="shared" si="46"/>
        <v>290</v>
      </c>
      <c r="D93">
        <f t="shared" si="46"/>
        <v>2.5</v>
      </c>
      <c r="E93">
        <f t="shared" si="46"/>
        <v>1.7</v>
      </c>
      <c r="F93">
        <f t="shared" si="46"/>
        <v>48</v>
      </c>
      <c r="G93">
        <f t="shared" si="46"/>
        <v>21</v>
      </c>
      <c r="I93" s="2">
        <f t="shared" si="27"/>
        <v>1038.7674709962257</v>
      </c>
      <c r="J93">
        <f t="shared" si="31"/>
        <v>92000</v>
      </c>
      <c r="K93">
        <f t="shared" si="32"/>
        <v>3300</v>
      </c>
      <c r="L93" s="3">
        <f t="shared" si="33"/>
        <v>2.9772989399999998</v>
      </c>
      <c r="M93" s="3">
        <f t="shared" si="34"/>
        <v>29.7729894</v>
      </c>
      <c r="N93" s="2">
        <f t="shared" si="35"/>
        <v>766.61747099622573</v>
      </c>
      <c r="Q93" s="1">
        <f t="shared" si="28"/>
        <v>92</v>
      </c>
      <c r="R93">
        <f t="shared" si="29"/>
        <v>92000</v>
      </c>
      <c r="S93">
        <f t="shared" si="45"/>
        <v>290</v>
      </c>
      <c r="T93">
        <f t="shared" si="45"/>
        <v>2.5</v>
      </c>
      <c r="U93">
        <f t="shared" si="45"/>
        <v>1.7</v>
      </c>
      <c r="V93">
        <f t="shared" si="45"/>
        <v>47</v>
      </c>
      <c r="W93">
        <f t="shared" si="45"/>
        <v>22</v>
      </c>
      <c r="Y93" s="2">
        <f t="shared" si="30"/>
        <v>967.37410149922084</v>
      </c>
      <c r="Z93">
        <f t="shared" si="36"/>
        <v>92000</v>
      </c>
      <c r="AA93">
        <f t="shared" si="37"/>
        <v>3300</v>
      </c>
      <c r="AB93" s="3">
        <f t="shared" si="38"/>
        <v>2.9772989399999998</v>
      </c>
      <c r="AC93" s="4">
        <f t="shared" si="39"/>
        <v>29.7729894</v>
      </c>
      <c r="AD93" s="2">
        <f t="shared" si="40"/>
        <v>695.22410149922086</v>
      </c>
      <c r="AE93" s="3">
        <f t="shared" si="41"/>
        <v>92</v>
      </c>
    </row>
    <row r="94" spans="1:31" x14ac:dyDescent="0.3">
      <c r="A94">
        <f t="shared" si="25"/>
        <v>93</v>
      </c>
      <c r="B94">
        <f t="shared" si="42"/>
        <v>93000</v>
      </c>
      <c r="C94">
        <f t="shared" si="46"/>
        <v>290</v>
      </c>
      <c r="D94">
        <f t="shared" si="46"/>
        <v>2.5</v>
      </c>
      <c r="E94">
        <f t="shared" si="46"/>
        <v>1.7</v>
      </c>
      <c r="F94">
        <f t="shared" si="46"/>
        <v>48</v>
      </c>
      <c r="G94">
        <f t="shared" si="46"/>
        <v>21</v>
      </c>
      <c r="I94" s="2">
        <f t="shared" si="27"/>
        <v>1043.8619750219773</v>
      </c>
      <c r="J94">
        <f t="shared" si="31"/>
        <v>93000</v>
      </c>
      <c r="K94">
        <f t="shared" si="32"/>
        <v>3300</v>
      </c>
      <c r="L94" s="3">
        <f t="shared" si="33"/>
        <v>3.0096608850000002</v>
      </c>
      <c r="M94" s="3">
        <f t="shared" si="34"/>
        <v>30.096608850000003</v>
      </c>
      <c r="N94" s="2">
        <f t="shared" si="35"/>
        <v>771.71197502197731</v>
      </c>
      <c r="Q94" s="1">
        <f t="shared" si="28"/>
        <v>93</v>
      </c>
      <c r="R94">
        <f t="shared" si="29"/>
        <v>93000</v>
      </c>
      <c r="S94">
        <f t="shared" si="45"/>
        <v>290</v>
      </c>
      <c r="T94">
        <f t="shared" si="45"/>
        <v>2.5</v>
      </c>
      <c r="U94">
        <f t="shared" si="45"/>
        <v>1.7</v>
      </c>
      <c r="V94">
        <f t="shared" si="45"/>
        <v>47</v>
      </c>
      <c r="W94">
        <f t="shared" si="45"/>
        <v>22</v>
      </c>
      <c r="Y94" s="2">
        <f t="shared" si="30"/>
        <v>971.437437168619</v>
      </c>
      <c r="Z94">
        <f t="shared" si="36"/>
        <v>93000</v>
      </c>
      <c r="AA94">
        <f t="shared" si="37"/>
        <v>3300</v>
      </c>
      <c r="AB94" s="3">
        <f t="shared" si="38"/>
        <v>3.0096608850000002</v>
      </c>
      <c r="AC94" s="4">
        <f t="shared" si="39"/>
        <v>30.096608850000003</v>
      </c>
      <c r="AD94" s="2">
        <f t="shared" si="40"/>
        <v>699.28743716861902</v>
      </c>
      <c r="AE94" s="3">
        <f t="shared" si="41"/>
        <v>93</v>
      </c>
    </row>
    <row r="95" spans="1:31" x14ac:dyDescent="0.3">
      <c r="A95">
        <f t="shared" si="25"/>
        <v>94</v>
      </c>
      <c r="B95">
        <f t="shared" si="42"/>
        <v>94000</v>
      </c>
      <c r="C95">
        <f t="shared" si="46"/>
        <v>290</v>
      </c>
      <c r="D95">
        <f t="shared" si="46"/>
        <v>2.5</v>
      </c>
      <c r="E95">
        <f t="shared" si="46"/>
        <v>1.7</v>
      </c>
      <c r="F95">
        <f t="shared" si="46"/>
        <v>48</v>
      </c>
      <c r="G95">
        <f t="shared" si="46"/>
        <v>21</v>
      </c>
      <c r="I95" s="2">
        <f t="shared" si="27"/>
        <v>1048.9483640791375</v>
      </c>
      <c r="J95">
        <f t="shared" si="31"/>
        <v>94000</v>
      </c>
      <c r="K95">
        <f t="shared" si="32"/>
        <v>3300</v>
      </c>
      <c r="L95" s="3">
        <f t="shared" si="33"/>
        <v>3.0420228300000001</v>
      </c>
      <c r="M95" s="3">
        <f t="shared" si="34"/>
        <v>30.420228300000002</v>
      </c>
      <c r="N95" s="2">
        <f t="shared" si="35"/>
        <v>776.79836407913751</v>
      </c>
      <c r="Q95" s="1">
        <f t="shared" si="28"/>
        <v>94</v>
      </c>
      <c r="R95">
        <f t="shared" si="29"/>
        <v>94000</v>
      </c>
      <c r="S95">
        <f t="shared" si="45"/>
        <v>290</v>
      </c>
      <c r="T95">
        <f t="shared" si="45"/>
        <v>2.5</v>
      </c>
      <c r="U95">
        <f t="shared" si="45"/>
        <v>1.7</v>
      </c>
      <c r="V95">
        <f t="shared" si="45"/>
        <v>47</v>
      </c>
      <c r="W95">
        <f t="shared" si="45"/>
        <v>22</v>
      </c>
      <c r="Y95" s="2">
        <f t="shared" si="30"/>
        <v>975.4908484789762</v>
      </c>
      <c r="Z95">
        <f t="shared" si="36"/>
        <v>94000</v>
      </c>
      <c r="AA95">
        <f t="shared" si="37"/>
        <v>3300</v>
      </c>
      <c r="AB95" s="3">
        <f t="shared" si="38"/>
        <v>3.0420228300000001</v>
      </c>
      <c r="AC95" s="4">
        <f t="shared" si="39"/>
        <v>30.420228300000002</v>
      </c>
      <c r="AD95" s="2">
        <f t="shared" si="40"/>
        <v>703.34084847897623</v>
      </c>
      <c r="AE95" s="3">
        <f t="shared" si="41"/>
        <v>94</v>
      </c>
    </row>
    <row r="96" spans="1:31" x14ac:dyDescent="0.3">
      <c r="A96">
        <f t="shared" si="25"/>
        <v>95</v>
      </c>
      <c r="B96">
        <f t="shared" si="42"/>
        <v>95000</v>
      </c>
      <c r="C96">
        <f t="shared" si="46"/>
        <v>290</v>
      </c>
      <c r="D96">
        <f t="shared" si="46"/>
        <v>2.5</v>
      </c>
      <c r="E96">
        <f t="shared" si="46"/>
        <v>1.7</v>
      </c>
      <c r="F96">
        <f t="shared" si="46"/>
        <v>48</v>
      </c>
      <c r="G96">
        <f t="shared" si="46"/>
        <v>21</v>
      </c>
      <c r="I96" s="2">
        <f t="shared" si="27"/>
        <v>1054.0270155384571</v>
      </c>
      <c r="J96">
        <f t="shared" si="31"/>
        <v>95000</v>
      </c>
      <c r="K96">
        <f t="shared" si="32"/>
        <v>3300</v>
      </c>
      <c r="L96" s="3">
        <f t="shared" si="33"/>
        <v>3.074384775</v>
      </c>
      <c r="M96" s="3">
        <f t="shared" si="34"/>
        <v>30.74384775</v>
      </c>
      <c r="N96" s="2">
        <f t="shared" si="35"/>
        <v>781.87701553845716</v>
      </c>
      <c r="Q96" s="1">
        <f t="shared" si="28"/>
        <v>95</v>
      </c>
      <c r="R96">
        <f t="shared" si="29"/>
        <v>95000</v>
      </c>
      <c r="S96">
        <f t="shared" si="45"/>
        <v>290</v>
      </c>
      <c r="T96">
        <f t="shared" si="45"/>
        <v>2.5</v>
      </c>
      <c r="U96">
        <f t="shared" si="45"/>
        <v>1.7</v>
      </c>
      <c r="V96">
        <f t="shared" si="45"/>
        <v>47</v>
      </c>
      <c r="W96">
        <f t="shared" si="45"/>
        <v>22</v>
      </c>
      <c r="Y96" s="2">
        <f t="shared" si="30"/>
        <v>979.53477643867541</v>
      </c>
      <c r="Z96">
        <f t="shared" si="36"/>
        <v>95000</v>
      </c>
      <c r="AA96">
        <f t="shared" si="37"/>
        <v>3300</v>
      </c>
      <c r="AB96" s="3">
        <f t="shared" si="38"/>
        <v>3.074384775</v>
      </c>
      <c r="AC96" s="4">
        <f t="shared" si="39"/>
        <v>30.74384775</v>
      </c>
      <c r="AD96" s="2">
        <f t="shared" si="40"/>
        <v>707.38477643867543</v>
      </c>
      <c r="AE96" s="3">
        <f t="shared" si="41"/>
        <v>95</v>
      </c>
    </row>
    <row r="97" spans="1:31" x14ac:dyDescent="0.3">
      <c r="A97">
        <f t="shared" si="25"/>
        <v>96</v>
      </c>
      <c r="B97">
        <f t="shared" si="42"/>
        <v>96000</v>
      </c>
      <c r="C97">
        <f t="shared" si="46"/>
        <v>290</v>
      </c>
      <c r="D97">
        <f t="shared" si="46"/>
        <v>2.5</v>
      </c>
      <c r="E97">
        <f t="shared" si="46"/>
        <v>1.7</v>
      </c>
      <c r="F97">
        <f t="shared" si="46"/>
        <v>48</v>
      </c>
      <c r="G97">
        <f t="shared" si="46"/>
        <v>21</v>
      </c>
      <c r="I97" s="2">
        <f t="shared" si="27"/>
        <v>1059.098289221798</v>
      </c>
      <c r="J97">
        <f t="shared" si="31"/>
        <v>96000</v>
      </c>
      <c r="K97">
        <f t="shared" si="32"/>
        <v>3300</v>
      </c>
      <c r="L97" s="3">
        <f t="shared" si="33"/>
        <v>3.1067467199999999</v>
      </c>
      <c r="M97" s="3">
        <f t="shared" si="34"/>
        <v>31.067467199999999</v>
      </c>
      <c r="N97" s="2">
        <f t="shared" si="35"/>
        <v>786.94828922179806</v>
      </c>
      <c r="Q97" s="1">
        <f t="shared" si="28"/>
        <v>96</v>
      </c>
      <c r="R97">
        <f t="shared" si="29"/>
        <v>96000</v>
      </c>
      <c r="S97">
        <f t="shared" si="45"/>
        <v>290</v>
      </c>
      <c r="T97">
        <f t="shared" si="45"/>
        <v>2.5</v>
      </c>
      <c r="U97">
        <f t="shared" si="45"/>
        <v>1.7</v>
      </c>
      <c r="V97">
        <f t="shared" si="45"/>
        <v>47</v>
      </c>
      <c r="W97">
        <f t="shared" si="45"/>
        <v>22</v>
      </c>
      <c r="Y97" s="2">
        <f t="shared" si="30"/>
        <v>983.56964245902577</v>
      </c>
      <c r="Z97">
        <f t="shared" si="36"/>
        <v>96000</v>
      </c>
      <c r="AA97">
        <f t="shared" si="37"/>
        <v>3300</v>
      </c>
      <c r="AB97" s="3">
        <f t="shared" si="38"/>
        <v>3.1067467199999999</v>
      </c>
      <c r="AC97" s="4">
        <f t="shared" si="39"/>
        <v>31.067467199999999</v>
      </c>
      <c r="AD97" s="2">
        <f t="shared" si="40"/>
        <v>711.41964245902579</v>
      </c>
      <c r="AE97" s="3">
        <f t="shared" si="41"/>
        <v>96</v>
      </c>
    </row>
    <row r="98" spans="1:31" x14ac:dyDescent="0.3">
      <c r="A98">
        <f t="shared" si="25"/>
        <v>97</v>
      </c>
      <c r="B98">
        <f t="shared" si="42"/>
        <v>97000</v>
      </c>
      <c r="C98">
        <f t="shared" si="46"/>
        <v>290</v>
      </c>
      <c r="D98">
        <f t="shared" si="46"/>
        <v>2.5</v>
      </c>
      <c r="E98">
        <f t="shared" si="46"/>
        <v>1.7</v>
      </c>
      <c r="F98">
        <f t="shared" si="46"/>
        <v>48</v>
      </c>
      <c r="G98">
        <f t="shared" si="46"/>
        <v>21</v>
      </c>
      <c r="I98" s="2">
        <f t="shared" si="27"/>
        <v>1064.1625282182101</v>
      </c>
      <c r="J98">
        <f t="shared" si="31"/>
        <v>97000</v>
      </c>
      <c r="K98">
        <f t="shared" si="32"/>
        <v>3300</v>
      </c>
      <c r="L98" s="3">
        <f t="shared" si="33"/>
        <v>3.1391086650000002</v>
      </c>
      <c r="M98" s="3">
        <f t="shared" si="34"/>
        <v>31.391086650000002</v>
      </c>
      <c r="N98" s="2">
        <f t="shared" si="35"/>
        <v>792.01252821821015</v>
      </c>
      <c r="Q98" s="1">
        <f t="shared" si="28"/>
        <v>97</v>
      </c>
      <c r="R98">
        <f t="shared" si="29"/>
        <v>97000</v>
      </c>
      <c r="S98">
        <f t="shared" si="45"/>
        <v>290</v>
      </c>
      <c r="T98">
        <f t="shared" si="45"/>
        <v>2.5</v>
      </c>
      <c r="U98">
        <f t="shared" si="45"/>
        <v>1.7</v>
      </c>
      <c r="V98">
        <f t="shared" si="45"/>
        <v>47</v>
      </c>
      <c r="W98">
        <f t="shared" si="45"/>
        <v>22</v>
      </c>
      <c r="Y98" s="2">
        <f t="shared" si="30"/>
        <v>987.59584922509703</v>
      </c>
      <c r="Z98">
        <f t="shared" si="36"/>
        <v>97000</v>
      </c>
      <c r="AA98">
        <f t="shared" si="37"/>
        <v>3300</v>
      </c>
      <c r="AB98" s="3">
        <f t="shared" si="38"/>
        <v>3.1391086650000002</v>
      </c>
      <c r="AC98" s="4">
        <f t="shared" si="39"/>
        <v>31.391086650000002</v>
      </c>
      <c r="AD98" s="2">
        <f t="shared" si="40"/>
        <v>715.44584922509705</v>
      </c>
      <c r="AE98" s="3">
        <f t="shared" si="41"/>
        <v>97</v>
      </c>
    </row>
    <row r="99" spans="1:31" x14ac:dyDescent="0.3">
      <c r="A99">
        <f t="shared" si="25"/>
        <v>98</v>
      </c>
      <c r="B99">
        <f t="shared" si="42"/>
        <v>98000</v>
      </c>
      <c r="C99">
        <f t="shared" si="46"/>
        <v>290</v>
      </c>
      <c r="D99">
        <f t="shared" si="46"/>
        <v>2.5</v>
      </c>
      <c r="E99">
        <f t="shared" si="46"/>
        <v>1.7</v>
      </c>
      <c r="F99">
        <f t="shared" si="46"/>
        <v>48</v>
      </c>
      <c r="G99">
        <f t="shared" si="46"/>
        <v>21</v>
      </c>
      <c r="I99" s="2">
        <f t="shared" si="27"/>
        <v>1069.2200596620576</v>
      </c>
      <c r="J99">
        <f t="shared" si="31"/>
        <v>98000</v>
      </c>
      <c r="K99">
        <f t="shared" si="32"/>
        <v>3300</v>
      </c>
      <c r="L99" s="3">
        <f t="shared" si="33"/>
        <v>3.1714706100000001</v>
      </c>
      <c r="M99" s="3">
        <f t="shared" si="34"/>
        <v>31.714706100000001</v>
      </c>
      <c r="N99" s="2">
        <f t="shared" si="35"/>
        <v>797.07005966205759</v>
      </c>
      <c r="Q99" s="1">
        <f t="shared" si="28"/>
        <v>98</v>
      </c>
      <c r="R99">
        <f t="shared" si="29"/>
        <v>98000</v>
      </c>
      <c r="S99">
        <f t="shared" si="45"/>
        <v>290</v>
      </c>
      <c r="T99">
        <f t="shared" si="45"/>
        <v>2.5</v>
      </c>
      <c r="U99">
        <f t="shared" si="45"/>
        <v>1.7</v>
      </c>
      <c r="V99">
        <f t="shared" si="45"/>
        <v>47</v>
      </c>
      <c r="W99">
        <f t="shared" si="45"/>
        <v>22</v>
      </c>
      <c r="Y99" s="2">
        <f t="shared" si="30"/>
        <v>991.61378152785778</v>
      </c>
      <c r="Z99">
        <f t="shared" si="36"/>
        <v>98000</v>
      </c>
      <c r="AA99">
        <f t="shared" si="37"/>
        <v>3300</v>
      </c>
      <c r="AB99" s="3">
        <f t="shared" si="38"/>
        <v>3.1714706100000001</v>
      </c>
      <c r="AC99" s="4">
        <f t="shared" si="39"/>
        <v>31.714706100000001</v>
      </c>
      <c r="AD99" s="2">
        <f t="shared" si="40"/>
        <v>719.4637815278578</v>
      </c>
      <c r="AE99" s="3">
        <f t="shared" si="41"/>
        <v>98</v>
      </c>
    </row>
    <row r="100" spans="1:31" x14ac:dyDescent="0.3">
      <c r="A100">
        <f t="shared" si="25"/>
        <v>99</v>
      </c>
      <c r="B100">
        <f t="shared" si="42"/>
        <v>99000</v>
      </c>
      <c r="C100">
        <f t="shared" si="46"/>
        <v>290</v>
      </c>
      <c r="D100">
        <f t="shared" si="46"/>
        <v>2.5</v>
      </c>
      <c r="E100">
        <f t="shared" si="46"/>
        <v>1.7</v>
      </c>
      <c r="F100">
        <f t="shared" si="46"/>
        <v>48</v>
      </c>
      <c r="G100">
        <f t="shared" si="46"/>
        <v>21</v>
      </c>
      <c r="I100" s="2">
        <f t="shared" si="27"/>
        <v>1074.27119547496</v>
      </c>
      <c r="J100">
        <f t="shared" si="31"/>
        <v>99000</v>
      </c>
      <c r="K100">
        <f t="shared" si="32"/>
        <v>3300</v>
      </c>
      <c r="L100" s="3">
        <f t="shared" si="33"/>
        <v>3.203832555</v>
      </c>
      <c r="M100" s="3">
        <f t="shared" si="34"/>
        <v>32.038325549999996</v>
      </c>
      <c r="N100" s="2">
        <f t="shared" si="35"/>
        <v>802.12119547496002</v>
      </c>
      <c r="Q100" s="1">
        <f t="shared" si="28"/>
        <v>99</v>
      </c>
      <c r="R100">
        <f t="shared" si="29"/>
        <v>99000</v>
      </c>
      <c r="S100">
        <f t="shared" ref="S100:W115" si="47">S99</f>
        <v>290</v>
      </c>
      <c r="T100">
        <f t="shared" si="47"/>
        <v>2.5</v>
      </c>
      <c r="U100">
        <f t="shared" si="47"/>
        <v>1.7</v>
      </c>
      <c r="V100">
        <f t="shared" si="47"/>
        <v>47</v>
      </c>
      <c r="W100">
        <f t="shared" si="47"/>
        <v>22</v>
      </c>
      <c r="Y100" s="2">
        <f t="shared" si="30"/>
        <v>995.62380705933356</v>
      </c>
      <c r="Z100">
        <f t="shared" si="36"/>
        <v>99000</v>
      </c>
      <c r="AA100">
        <f t="shared" si="37"/>
        <v>3300</v>
      </c>
      <c r="AB100" s="3">
        <f t="shared" si="38"/>
        <v>3.203832555</v>
      </c>
      <c r="AC100" s="4">
        <f t="shared" si="39"/>
        <v>32.038325549999996</v>
      </c>
      <c r="AD100" s="2">
        <f t="shared" si="40"/>
        <v>723.47380705933358</v>
      </c>
      <c r="AE100" s="3">
        <f t="shared" si="41"/>
        <v>99</v>
      </c>
    </row>
    <row r="101" spans="1:31" x14ac:dyDescent="0.3">
      <c r="A101">
        <f t="shared" si="25"/>
        <v>100</v>
      </c>
      <c r="B101">
        <f t="shared" si="42"/>
        <v>100000</v>
      </c>
      <c r="C101">
        <f t="shared" ref="C101:G116" si="48">C100</f>
        <v>290</v>
      </c>
      <c r="D101">
        <f t="shared" si="48"/>
        <v>2.5</v>
      </c>
      <c r="E101">
        <f t="shared" si="48"/>
        <v>1.7</v>
      </c>
      <c r="F101">
        <f t="shared" si="48"/>
        <v>48</v>
      </c>
      <c r="G101">
        <f t="shared" si="48"/>
        <v>21</v>
      </c>
      <c r="I101" s="2">
        <f t="shared" si="27"/>
        <v>1079.3162330732316</v>
      </c>
      <c r="J101">
        <f t="shared" si="31"/>
        <v>100000</v>
      </c>
      <c r="K101">
        <f t="shared" si="32"/>
        <v>3300</v>
      </c>
      <c r="L101" s="3">
        <f t="shared" si="33"/>
        <v>3.2361944999999999</v>
      </c>
      <c r="M101" s="3">
        <f t="shared" si="34"/>
        <v>32.361944999999999</v>
      </c>
      <c r="N101" s="2">
        <f t="shared" si="35"/>
        <v>807.16623307323164</v>
      </c>
      <c r="Q101" s="1">
        <f t="shared" si="28"/>
        <v>100</v>
      </c>
      <c r="R101">
        <f t="shared" si="29"/>
        <v>100000</v>
      </c>
      <c r="S101">
        <f t="shared" si="47"/>
        <v>290</v>
      </c>
      <c r="T101">
        <f t="shared" si="47"/>
        <v>2.5</v>
      </c>
      <c r="U101">
        <f t="shared" si="47"/>
        <v>1.7</v>
      </c>
      <c r="V101">
        <f t="shared" si="47"/>
        <v>47</v>
      </c>
      <c r="W101">
        <f t="shared" si="47"/>
        <v>22</v>
      </c>
      <c r="Y101" s="2">
        <f t="shared" si="30"/>
        <v>999.62627717243413</v>
      </c>
      <c r="Z101">
        <f t="shared" si="36"/>
        <v>100000</v>
      </c>
      <c r="AA101">
        <f t="shared" si="37"/>
        <v>3300</v>
      </c>
      <c r="AB101" s="3">
        <f t="shared" si="38"/>
        <v>3.2361944999999999</v>
      </c>
      <c r="AC101" s="4">
        <f t="shared" si="39"/>
        <v>32.361944999999999</v>
      </c>
      <c r="AD101" s="2">
        <f t="shared" si="40"/>
        <v>727.47627717243415</v>
      </c>
      <c r="AE101" s="3">
        <f t="shared" si="41"/>
        <v>100</v>
      </c>
    </row>
    <row r="102" spans="1:31" x14ac:dyDescent="0.3">
      <c r="A102">
        <f t="shared" si="25"/>
        <v>101</v>
      </c>
      <c r="B102">
        <f t="shared" si="42"/>
        <v>101000</v>
      </c>
      <c r="C102">
        <f t="shared" si="48"/>
        <v>290</v>
      </c>
      <c r="D102">
        <f t="shared" si="48"/>
        <v>2.5</v>
      </c>
      <c r="E102">
        <f t="shared" si="48"/>
        <v>1.7</v>
      </c>
      <c r="F102">
        <f t="shared" si="48"/>
        <v>48</v>
      </c>
      <c r="G102">
        <f t="shared" si="48"/>
        <v>21</v>
      </c>
      <c r="I102" s="2">
        <f t="shared" si="27"/>
        <v>1084.3554560424236</v>
      </c>
      <c r="J102">
        <f t="shared" si="31"/>
        <v>101000</v>
      </c>
      <c r="K102">
        <f t="shared" si="32"/>
        <v>3300</v>
      </c>
      <c r="L102" s="3">
        <f t="shared" si="33"/>
        <v>3.2685564450000002</v>
      </c>
      <c r="M102" s="3">
        <f t="shared" si="34"/>
        <v>32.685564450000001</v>
      </c>
      <c r="N102" s="2">
        <f t="shared" si="35"/>
        <v>812.20545604242363</v>
      </c>
      <c r="Q102" s="1">
        <f t="shared" si="28"/>
        <v>101</v>
      </c>
      <c r="R102">
        <f t="shared" si="29"/>
        <v>101000</v>
      </c>
      <c r="S102">
        <f t="shared" si="47"/>
        <v>290</v>
      </c>
      <c r="T102">
        <f t="shared" si="47"/>
        <v>2.5</v>
      </c>
      <c r="U102">
        <f t="shared" si="47"/>
        <v>1.7</v>
      </c>
      <c r="V102">
        <f t="shared" si="47"/>
        <v>47</v>
      </c>
      <c r="W102">
        <f t="shared" si="47"/>
        <v>22</v>
      </c>
      <c r="Y102" s="2">
        <f t="shared" si="30"/>
        <v>1003.6215276070116</v>
      </c>
      <c r="Z102">
        <f t="shared" si="36"/>
        <v>101000</v>
      </c>
      <c r="AA102">
        <f t="shared" si="37"/>
        <v>3300</v>
      </c>
      <c r="AB102" s="3">
        <f t="shared" si="38"/>
        <v>3.2685564450000002</v>
      </c>
      <c r="AC102" s="4">
        <f t="shared" si="39"/>
        <v>32.685564450000001</v>
      </c>
      <c r="AD102" s="2">
        <f t="shared" si="40"/>
        <v>731.47152760701158</v>
      </c>
      <c r="AE102" s="3">
        <f t="shared" si="41"/>
        <v>101</v>
      </c>
    </row>
    <row r="103" spans="1:31" x14ac:dyDescent="0.3">
      <c r="A103">
        <f t="shared" si="25"/>
        <v>102</v>
      </c>
      <c r="B103">
        <f t="shared" si="42"/>
        <v>102000</v>
      </c>
      <c r="C103">
        <f t="shared" si="48"/>
        <v>290</v>
      </c>
      <c r="D103">
        <f t="shared" si="48"/>
        <v>2.5</v>
      </c>
      <c r="E103">
        <f t="shared" si="48"/>
        <v>1.7</v>
      </c>
      <c r="F103">
        <f t="shared" si="48"/>
        <v>48</v>
      </c>
      <c r="G103">
        <f t="shared" si="48"/>
        <v>21</v>
      </c>
      <c r="I103" s="2">
        <f t="shared" si="27"/>
        <v>1089.3891347804943</v>
      </c>
      <c r="J103">
        <f t="shared" si="31"/>
        <v>102000</v>
      </c>
      <c r="K103">
        <f t="shared" si="32"/>
        <v>3300</v>
      </c>
      <c r="L103" s="3">
        <f t="shared" si="33"/>
        <v>3.3009183900000001</v>
      </c>
      <c r="M103" s="3">
        <f t="shared" si="34"/>
        <v>33.009183900000004</v>
      </c>
      <c r="N103" s="2">
        <f t="shared" si="35"/>
        <v>817.23913478049428</v>
      </c>
      <c r="Q103" s="1">
        <f t="shared" si="28"/>
        <v>102</v>
      </c>
      <c r="R103">
        <f t="shared" si="29"/>
        <v>102000</v>
      </c>
      <c r="S103">
        <f t="shared" si="47"/>
        <v>290</v>
      </c>
      <c r="T103">
        <f t="shared" si="47"/>
        <v>2.5</v>
      </c>
      <c r="U103">
        <f t="shared" si="47"/>
        <v>1.7</v>
      </c>
      <c r="V103">
        <f t="shared" si="47"/>
        <v>47</v>
      </c>
      <c r="W103">
        <f t="shared" si="47"/>
        <v>22</v>
      </c>
      <c r="Y103" s="2">
        <f t="shared" si="30"/>
        <v>1007.6098791836582</v>
      </c>
      <c r="Z103">
        <f t="shared" si="36"/>
        <v>102000</v>
      </c>
      <c r="AA103">
        <f t="shared" si="37"/>
        <v>3300</v>
      </c>
      <c r="AB103" s="3">
        <f t="shared" si="38"/>
        <v>3.3009183900000001</v>
      </c>
      <c r="AC103" s="4">
        <f t="shared" si="39"/>
        <v>33.009183900000004</v>
      </c>
      <c r="AD103" s="2">
        <f t="shared" si="40"/>
        <v>735.45987918365824</v>
      </c>
      <c r="AE103" s="3">
        <f t="shared" si="41"/>
        <v>102</v>
      </c>
    </row>
    <row r="104" spans="1:31" x14ac:dyDescent="0.3">
      <c r="A104">
        <f t="shared" si="25"/>
        <v>103</v>
      </c>
      <c r="B104">
        <f t="shared" si="42"/>
        <v>103000</v>
      </c>
      <c r="C104">
        <f t="shared" si="48"/>
        <v>290</v>
      </c>
      <c r="D104">
        <f t="shared" si="48"/>
        <v>2.5</v>
      </c>
      <c r="E104">
        <f t="shared" si="48"/>
        <v>1.7</v>
      </c>
      <c r="F104">
        <f t="shared" si="48"/>
        <v>48</v>
      </c>
      <c r="G104">
        <f t="shared" si="48"/>
        <v>21</v>
      </c>
      <c r="I104" s="2">
        <f t="shared" si="27"/>
        <v>1094.4175271110739</v>
      </c>
      <c r="J104">
        <f t="shared" si="31"/>
        <v>103000</v>
      </c>
      <c r="K104">
        <f t="shared" si="32"/>
        <v>3300</v>
      </c>
      <c r="L104" s="3">
        <f t="shared" si="33"/>
        <v>3.333280335</v>
      </c>
      <c r="M104" s="3">
        <f t="shared" si="34"/>
        <v>33.332803349999999</v>
      </c>
      <c r="N104" s="2">
        <f t="shared" si="35"/>
        <v>822.26752711107395</v>
      </c>
      <c r="Q104" s="1">
        <f t="shared" si="28"/>
        <v>103</v>
      </c>
      <c r="R104">
        <f t="shared" si="29"/>
        <v>103000</v>
      </c>
      <c r="S104">
        <f t="shared" si="47"/>
        <v>290</v>
      </c>
      <c r="T104">
        <f t="shared" si="47"/>
        <v>2.5</v>
      </c>
      <c r="U104">
        <f t="shared" si="47"/>
        <v>1.7</v>
      </c>
      <c r="V104">
        <f t="shared" si="47"/>
        <v>47</v>
      </c>
      <c r="W104">
        <f t="shared" si="47"/>
        <v>22</v>
      </c>
      <c r="Y104" s="2">
        <f t="shared" si="30"/>
        <v>1011.5916384666737</v>
      </c>
      <c r="Z104">
        <f t="shared" si="36"/>
        <v>103000</v>
      </c>
      <c r="AA104">
        <f t="shared" si="37"/>
        <v>3300</v>
      </c>
      <c r="AB104" s="3">
        <f t="shared" si="38"/>
        <v>3.333280335</v>
      </c>
      <c r="AC104" s="4">
        <f t="shared" si="39"/>
        <v>33.332803349999999</v>
      </c>
      <c r="AD104" s="2">
        <f t="shared" si="40"/>
        <v>739.44163846667368</v>
      </c>
      <c r="AE104" s="3">
        <f t="shared" si="41"/>
        <v>103</v>
      </c>
    </row>
    <row r="105" spans="1:31" x14ac:dyDescent="0.3">
      <c r="A105">
        <f t="shared" si="25"/>
        <v>104</v>
      </c>
      <c r="B105">
        <f t="shared" si="42"/>
        <v>104000</v>
      </c>
      <c r="C105">
        <f t="shared" si="48"/>
        <v>290</v>
      </c>
      <c r="D105">
        <f t="shared" si="48"/>
        <v>2.5</v>
      </c>
      <c r="E105">
        <f t="shared" si="48"/>
        <v>1.7</v>
      </c>
      <c r="F105">
        <f t="shared" si="48"/>
        <v>48</v>
      </c>
      <c r="G105">
        <f t="shared" si="48"/>
        <v>21</v>
      </c>
      <c r="I105" s="2">
        <f t="shared" si="27"/>
        <v>1099.4408788682094</v>
      </c>
      <c r="J105">
        <f t="shared" si="31"/>
        <v>104000</v>
      </c>
      <c r="K105">
        <f t="shared" si="32"/>
        <v>3300</v>
      </c>
      <c r="L105" s="3">
        <f t="shared" si="33"/>
        <v>3.3656422799999999</v>
      </c>
      <c r="M105" s="3">
        <f t="shared" si="34"/>
        <v>33.656422800000001</v>
      </c>
      <c r="N105" s="2">
        <f t="shared" si="35"/>
        <v>827.29087886820946</v>
      </c>
      <c r="Q105" s="1">
        <f t="shared" si="28"/>
        <v>104</v>
      </c>
      <c r="R105">
        <f t="shared" si="29"/>
        <v>104000</v>
      </c>
      <c r="S105">
        <f t="shared" si="47"/>
        <v>290</v>
      </c>
      <c r="T105">
        <f t="shared" si="47"/>
        <v>2.5</v>
      </c>
      <c r="U105">
        <f t="shared" si="47"/>
        <v>1.7</v>
      </c>
      <c r="V105">
        <f t="shared" si="47"/>
        <v>47</v>
      </c>
      <c r="W105">
        <f t="shared" si="47"/>
        <v>22</v>
      </c>
      <c r="Y105" s="2">
        <f t="shared" si="30"/>
        <v>1015.5670983975708</v>
      </c>
      <c r="Z105">
        <f t="shared" si="36"/>
        <v>104000</v>
      </c>
      <c r="AA105">
        <f t="shared" si="37"/>
        <v>3300</v>
      </c>
      <c r="AB105" s="3">
        <f t="shared" si="38"/>
        <v>3.3656422799999999</v>
      </c>
      <c r="AC105" s="4">
        <f t="shared" si="39"/>
        <v>33.656422800000001</v>
      </c>
      <c r="AD105" s="2">
        <f t="shared" si="40"/>
        <v>743.41709839757084</v>
      </c>
      <c r="AE105" s="3">
        <f t="shared" si="41"/>
        <v>104</v>
      </c>
    </row>
    <row r="106" spans="1:31" x14ac:dyDescent="0.3">
      <c r="A106">
        <f t="shared" si="25"/>
        <v>105</v>
      </c>
      <c r="B106">
        <f t="shared" si="42"/>
        <v>105000</v>
      </c>
      <c r="C106">
        <f t="shared" si="48"/>
        <v>290</v>
      </c>
      <c r="D106">
        <f t="shared" si="48"/>
        <v>2.5</v>
      </c>
      <c r="E106">
        <f t="shared" si="48"/>
        <v>1.7</v>
      </c>
      <c r="F106">
        <f t="shared" si="48"/>
        <v>48</v>
      </c>
      <c r="G106">
        <f t="shared" si="48"/>
        <v>21</v>
      </c>
      <c r="I106" s="2">
        <f t="shared" si="27"/>
        <v>1104.4594244539142</v>
      </c>
      <c r="J106">
        <f t="shared" si="31"/>
        <v>105000</v>
      </c>
      <c r="K106">
        <f t="shared" si="32"/>
        <v>3300</v>
      </c>
      <c r="L106" s="3">
        <f t="shared" si="33"/>
        <v>3.3980042250000002</v>
      </c>
      <c r="M106" s="3">
        <f t="shared" si="34"/>
        <v>33.980042250000004</v>
      </c>
      <c r="N106" s="2">
        <f t="shared" si="35"/>
        <v>832.30942445391418</v>
      </c>
      <c r="Q106" s="1">
        <f t="shared" si="28"/>
        <v>105</v>
      </c>
      <c r="R106">
        <f t="shared" si="29"/>
        <v>105000</v>
      </c>
      <c r="S106">
        <f t="shared" si="47"/>
        <v>290</v>
      </c>
      <c r="T106">
        <f t="shared" si="47"/>
        <v>2.5</v>
      </c>
      <c r="U106">
        <f t="shared" si="47"/>
        <v>1.7</v>
      </c>
      <c r="V106">
        <f t="shared" si="47"/>
        <v>47</v>
      </c>
      <c r="W106">
        <f t="shared" si="47"/>
        <v>22</v>
      </c>
      <c r="Y106" s="2">
        <f t="shared" si="30"/>
        <v>1019.5365389004323</v>
      </c>
      <c r="Z106">
        <f t="shared" si="36"/>
        <v>105000</v>
      </c>
      <c r="AA106">
        <f t="shared" si="37"/>
        <v>3300</v>
      </c>
      <c r="AB106" s="3">
        <f t="shared" si="38"/>
        <v>3.3980042250000002</v>
      </c>
      <c r="AC106" s="4">
        <f t="shared" si="39"/>
        <v>33.980042250000004</v>
      </c>
      <c r="AD106" s="2">
        <f t="shared" si="40"/>
        <v>747.38653890043236</v>
      </c>
      <c r="AE106" s="3">
        <f t="shared" si="41"/>
        <v>105</v>
      </c>
    </row>
    <row r="107" spans="1:31" x14ac:dyDescent="0.3">
      <c r="A107">
        <f t="shared" si="25"/>
        <v>106</v>
      </c>
      <c r="B107">
        <f t="shared" si="42"/>
        <v>106000</v>
      </c>
      <c r="C107">
        <f t="shared" si="48"/>
        <v>290</v>
      </c>
      <c r="D107">
        <f t="shared" si="48"/>
        <v>2.5</v>
      </c>
      <c r="E107">
        <f t="shared" si="48"/>
        <v>1.7</v>
      </c>
      <c r="F107">
        <f t="shared" si="48"/>
        <v>48</v>
      </c>
      <c r="G107">
        <f t="shared" si="48"/>
        <v>21</v>
      </c>
      <c r="I107" s="2">
        <f t="shared" si="27"/>
        <v>1109.4733873697962</v>
      </c>
      <c r="J107">
        <f t="shared" si="31"/>
        <v>106000</v>
      </c>
      <c r="K107">
        <f t="shared" si="32"/>
        <v>3300</v>
      </c>
      <c r="L107" s="3">
        <f t="shared" si="33"/>
        <v>3.4303661700000001</v>
      </c>
      <c r="M107" s="3">
        <f t="shared" si="34"/>
        <v>34.303661699999999</v>
      </c>
      <c r="N107" s="2">
        <f t="shared" si="35"/>
        <v>837.32338736979625</v>
      </c>
      <c r="Q107" s="1">
        <f t="shared" si="28"/>
        <v>106</v>
      </c>
      <c r="R107">
        <f t="shared" si="29"/>
        <v>106000</v>
      </c>
      <c r="S107">
        <f t="shared" si="47"/>
        <v>290</v>
      </c>
      <c r="T107">
        <f t="shared" si="47"/>
        <v>2.5</v>
      </c>
      <c r="U107">
        <f t="shared" si="47"/>
        <v>1.7</v>
      </c>
      <c r="V107">
        <f t="shared" si="47"/>
        <v>47</v>
      </c>
      <c r="W107">
        <f t="shared" si="47"/>
        <v>22</v>
      </c>
      <c r="Y107" s="2">
        <f t="shared" si="30"/>
        <v>1023.5002274603626</v>
      </c>
      <c r="Z107">
        <f t="shared" si="36"/>
        <v>106000</v>
      </c>
      <c r="AA107">
        <f t="shared" si="37"/>
        <v>3300</v>
      </c>
      <c r="AB107" s="3">
        <f t="shared" si="38"/>
        <v>3.4303661700000001</v>
      </c>
      <c r="AC107" s="4">
        <f t="shared" si="39"/>
        <v>34.303661699999999</v>
      </c>
      <c r="AD107" s="2">
        <f t="shared" si="40"/>
        <v>751.35022746036259</v>
      </c>
      <c r="AE107" s="3">
        <f t="shared" si="41"/>
        <v>106</v>
      </c>
    </row>
    <row r="108" spans="1:31" x14ac:dyDescent="0.3">
      <c r="A108">
        <f t="shared" si="25"/>
        <v>107</v>
      </c>
      <c r="B108">
        <f t="shared" si="42"/>
        <v>107000</v>
      </c>
      <c r="C108">
        <f t="shared" si="48"/>
        <v>290</v>
      </c>
      <c r="D108">
        <f t="shared" si="48"/>
        <v>2.5</v>
      </c>
      <c r="E108">
        <f t="shared" si="48"/>
        <v>1.7</v>
      </c>
      <c r="F108">
        <f t="shared" si="48"/>
        <v>48</v>
      </c>
      <c r="G108">
        <f t="shared" si="48"/>
        <v>21</v>
      </c>
      <c r="I108" s="2">
        <f t="shared" si="27"/>
        <v>1114.4829807239573</v>
      </c>
      <c r="J108">
        <f t="shared" si="31"/>
        <v>107000</v>
      </c>
      <c r="K108">
        <f t="shared" si="32"/>
        <v>3300</v>
      </c>
      <c r="L108" s="3">
        <f t="shared" si="33"/>
        <v>3.462728115</v>
      </c>
      <c r="M108" s="3">
        <f t="shared" si="34"/>
        <v>34.627281150000002</v>
      </c>
      <c r="N108" s="2">
        <f t="shared" si="35"/>
        <v>842.33298072395735</v>
      </c>
      <c r="Q108" s="1">
        <f t="shared" si="28"/>
        <v>107</v>
      </c>
      <c r="R108">
        <f t="shared" si="29"/>
        <v>107000</v>
      </c>
      <c r="S108">
        <f t="shared" si="47"/>
        <v>290</v>
      </c>
      <c r="T108">
        <f t="shared" si="47"/>
        <v>2.5</v>
      </c>
      <c r="U108">
        <f t="shared" si="47"/>
        <v>1.7</v>
      </c>
      <c r="V108">
        <f t="shared" si="47"/>
        <v>47</v>
      </c>
      <c r="W108">
        <f t="shared" si="47"/>
        <v>22</v>
      </c>
      <c r="Y108" s="2">
        <f t="shared" si="30"/>
        <v>1027.4584196762414</v>
      </c>
      <c r="Z108">
        <f t="shared" si="36"/>
        <v>107000</v>
      </c>
      <c r="AA108">
        <f t="shared" si="37"/>
        <v>3300</v>
      </c>
      <c r="AB108" s="3">
        <f t="shared" si="38"/>
        <v>3.462728115</v>
      </c>
      <c r="AC108" s="4">
        <f t="shared" si="39"/>
        <v>34.627281150000002</v>
      </c>
      <c r="AD108" s="2">
        <f t="shared" si="40"/>
        <v>755.30841967624144</v>
      </c>
      <c r="AE108" s="3">
        <f t="shared" si="41"/>
        <v>107</v>
      </c>
    </row>
    <row r="109" spans="1:31" x14ac:dyDescent="0.3">
      <c r="A109">
        <f t="shared" si="25"/>
        <v>108</v>
      </c>
      <c r="B109">
        <f t="shared" si="42"/>
        <v>108000</v>
      </c>
      <c r="C109">
        <f t="shared" si="48"/>
        <v>290</v>
      </c>
      <c r="D109">
        <f t="shared" si="48"/>
        <v>2.5</v>
      </c>
      <c r="E109">
        <f t="shared" si="48"/>
        <v>1.7</v>
      </c>
      <c r="F109">
        <f t="shared" si="48"/>
        <v>48</v>
      </c>
      <c r="G109">
        <f t="shared" si="48"/>
        <v>21</v>
      </c>
      <c r="I109" s="2">
        <f t="shared" si="27"/>
        <v>1119.4884077143224</v>
      </c>
      <c r="J109">
        <f t="shared" si="31"/>
        <v>108000</v>
      </c>
      <c r="K109">
        <f t="shared" si="32"/>
        <v>3300</v>
      </c>
      <c r="L109" s="3">
        <f t="shared" si="33"/>
        <v>3.4950900599999999</v>
      </c>
      <c r="M109" s="3">
        <f t="shared" si="34"/>
        <v>34.950900599999997</v>
      </c>
      <c r="N109" s="2">
        <f t="shared" si="35"/>
        <v>847.33840771432244</v>
      </c>
      <c r="Q109" s="1">
        <f t="shared" si="28"/>
        <v>108</v>
      </c>
      <c r="R109">
        <f t="shared" si="29"/>
        <v>108000</v>
      </c>
      <c r="S109">
        <f t="shared" si="47"/>
        <v>290</v>
      </c>
      <c r="T109">
        <f t="shared" si="47"/>
        <v>2.5</v>
      </c>
      <c r="U109">
        <f t="shared" si="47"/>
        <v>1.7</v>
      </c>
      <c r="V109">
        <f t="shared" si="47"/>
        <v>47</v>
      </c>
      <c r="W109">
        <f t="shared" si="47"/>
        <v>22</v>
      </c>
      <c r="Y109" s="2">
        <f t="shared" si="30"/>
        <v>1031.4113597889091</v>
      </c>
      <c r="Z109">
        <f t="shared" si="36"/>
        <v>108000</v>
      </c>
      <c r="AA109">
        <f t="shared" si="37"/>
        <v>3300</v>
      </c>
      <c r="AB109" s="3">
        <f t="shared" si="38"/>
        <v>3.4950900599999999</v>
      </c>
      <c r="AC109" s="4">
        <f t="shared" si="39"/>
        <v>34.950900599999997</v>
      </c>
      <c r="AD109" s="2">
        <f t="shared" si="40"/>
        <v>759.26135978890909</v>
      </c>
      <c r="AE109" s="3">
        <f t="shared" si="41"/>
        <v>108</v>
      </c>
    </row>
    <row r="110" spans="1:31" x14ac:dyDescent="0.3">
      <c r="A110">
        <f t="shared" si="25"/>
        <v>109</v>
      </c>
      <c r="B110">
        <f t="shared" si="42"/>
        <v>109000</v>
      </c>
      <c r="C110">
        <f t="shared" si="48"/>
        <v>290</v>
      </c>
      <c r="D110">
        <f t="shared" si="48"/>
        <v>2.5</v>
      </c>
      <c r="E110">
        <f t="shared" si="48"/>
        <v>1.7</v>
      </c>
      <c r="F110">
        <f t="shared" si="48"/>
        <v>48</v>
      </c>
      <c r="G110">
        <f t="shared" si="48"/>
        <v>21</v>
      </c>
      <c r="I110" s="2">
        <f t="shared" si="27"/>
        <v>1124.4898620894965</v>
      </c>
      <c r="J110">
        <f t="shared" si="31"/>
        <v>109000</v>
      </c>
      <c r="K110">
        <f t="shared" si="32"/>
        <v>3300</v>
      </c>
      <c r="L110" s="3">
        <f t="shared" si="33"/>
        <v>3.5274520049999998</v>
      </c>
      <c r="M110" s="3">
        <f t="shared" si="34"/>
        <v>35.27452005</v>
      </c>
      <c r="N110" s="2">
        <f t="shared" si="35"/>
        <v>852.33986208949648</v>
      </c>
      <c r="Q110" s="1">
        <f t="shared" si="28"/>
        <v>109</v>
      </c>
      <c r="R110">
        <f t="shared" si="29"/>
        <v>109000</v>
      </c>
      <c r="S110">
        <f t="shared" si="47"/>
        <v>290</v>
      </c>
      <c r="T110">
        <f t="shared" si="47"/>
        <v>2.5</v>
      </c>
      <c r="U110">
        <f t="shared" si="47"/>
        <v>1.7</v>
      </c>
      <c r="V110">
        <f t="shared" si="47"/>
        <v>47</v>
      </c>
      <c r="W110">
        <f t="shared" si="47"/>
        <v>22</v>
      </c>
      <c r="Y110" s="2">
        <f t="shared" si="30"/>
        <v>1035.3592811858871</v>
      </c>
      <c r="Z110">
        <f t="shared" si="36"/>
        <v>109000</v>
      </c>
      <c r="AA110">
        <f t="shared" si="37"/>
        <v>3300</v>
      </c>
      <c r="AB110" s="3">
        <f t="shared" si="38"/>
        <v>3.5274520049999998</v>
      </c>
      <c r="AC110" s="4">
        <f t="shared" si="39"/>
        <v>35.27452005</v>
      </c>
      <c r="AD110" s="2">
        <f t="shared" si="40"/>
        <v>763.20928118588711</v>
      </c>
      <c r="AE110" s="3">
        <f t="shared" si="41"/>
        <v>109</v>
      </c>
    </row>
    <row r="111" spans="1:31" x14ac:dyDescent="0.3">
      <c r="A111">
        <f t="shared" si="25"/>
        <v>110</v>
      </c>
      <c r="B111">
        <f t="shared" si="42"/>
        <v>110000</v>
      </c>
      <c r="C111">
        <f t="shared" si="48"/>
        <v>290</v>
      </c>
      <c r="D111">
        <f t="shared" si="48"/>
        <v>2.5</v>
      </c>
      <c r="E111">
        <f t="shared" si="48"/>
        <v>1.7</v>
      </c>
      <c r="F111">
        <f t="shared" si="48"/>
        <v>48</v>
      </c>
      <c r="G111">
        <f t="shared" si="48"/>
        <v>21</v>
      </c>
      <c r="I111" s="2">
        <f t="shared" si="27"/>
        <v>1129.4875285881833</v>
      </c>
      <c r="J111">
        <f t="shared" si="31"/>
        <v>110000</v>
      </c>
      <c r="K111">
        <f t="shared" si="32"/>
        <v>3300</v>
      </c>
      <c r="L111" s="3">
        <f t="shared" si="33"/>
        <v>3.5598139500000001</v>
      </c>
      <c r="M111" s="3">
        <f t="shared" si="34"/>
        <v>35.598139500000002</v>
      </c>
      <c r="N111" s="2">
        <f t="shared" si="35"/>
        <v>857.33752858818332</v>
      </c>
      <c r="Q111" s="1">
        <f t="shared" si="28"/>
        <v>110</v>
      </c>
      <c r="R111">
        <f t="shared" si="29"/>
        <v>110000</v>
      </c>
      <c r="S111">
        <f t="shared" si="47"/>
        <v>290</v>
      </c>
      <c r="T111">
        <f t="shared" si="47"/>
        <v>2.5</v>
      </c>
      <c r="U111">
        <f t="shared" si="47"/>
        <v>1.7</v>
      </c>
      <c r="V111">
        <f t="shared" si="47"/>
        <v>47</v>
      </c>
      <c r="W111">
        <f t="shared" si="47"/>
        <v>22</v>
      </c>
      <c r="Y111" s="2">
        <f t="shared" si="30"/>
        <v>1039.302406883661</v>
      </c>
      <c r="Z111">
        <f t="shared" si="36"/>
        <v>110000</v>
      </c>
      <c r="AA111">
        <f t="shared" si="37"/>
        <v>3300</v>
      </c>
      <c r="AB111" s="3">
        <f t="shared" si="38"/>
        <v>3.5598139500000001</v>
      </c>
      <c r="AC111" s="4">
        <f t="shared" si="39"/>
        <v>35.598139500000002</v>
      </c>
      <c r="AD111" s="2">
        <f t="shared" si="40"/>
        <v>767.152406883661</v>
      </c>
      <c r="AE111" s="3">
        <f t="shared" si="41"/>
        <v>110</v>
      </c>
    </row>
    <row r="112" spans="1:31" x14ac:dyDescent="0.3">
      <c r="A112">
        <f t="shared" si="25"/>
        <v>111</v>
      </c>
      <c r="B112">
        <f t="shared" si="42"/>
        <v>111000</v>
      </c>
      <c r="C112">
        <f t="shared" si="48"/>
        <v>290</v>
      </c>
      <c r="D112">
        <f t="shared" si="48"/>
        <v>2.5</v>
      </c>
      <c r="E112">
        <f t="shared" si="48"/>
        <v>1.7</v>
      </c>
      <c r="F112">
        <f t="shared" si="48"/>
        <v>48</v>
      </c>
      <c r="G112">
        <f t="shared" si="48"/>
        <v>21</v>
      </c>
      <c r="I112" s="2">
        <f t="shared" si="27"/>
        <v>1134.4815833581733</v>
      </c>
      <c r="J112">
        <f t="shared" si="31"/>
        <v>111000</v>
      </c>
      <c r="K112">
        <f t="shared" si="32"/>
        <v>3300</v>
      </c>
      <c r="L112" s="3">
        <f t="shared" si="33"/>
        <v>3.592175895</v>
      </c>
      <c r="M112" s="3">
        <f t="shared" si="34"/>
        <v>35.921758949999997</v>
      </c>
      <c r="N112" s="2">
        <f t="shared" si="35"/>
        <v>862.33158335817336</v>
      </c>
      <c r="Q112" s="1">
        <f t="shared" si="28"/>
        <v>111</v>
      </c>
      <c r="R112">
        <f t="shared" si="29"/>
        <v>111000</v>
      </c>
      <c r="S112">
        <f t="shared" si="47"/>
        <v>290</v>
      </c>
      <c r="T112">
        <f t="shared" si="47"/>
        <v>2.5</v>
      </c>
      <c r="U112">
        <f t="shared" si="47"/>
        <v>1.7</v>
      </c>
      <c r="V112">
        <f t="shared" si="47"/>
        <v>47</v>
      </c>
      <c r="W112">
        <f t="shared" si="47"/>
        <v>22</v>
      </c>
      <c r="Y112" s="2">
        <f t="shared" si="30"/>
        <v>1043.2409499885434</v>
      </c>
      <c r="Z112">
        <f t="shared" si="36"/>
        <v>111000</v>
      </c>
      <c r="AA112">
        <f t="shared" si="37"/>
        <v>3300</v>
      </c>
      <c r="AB112" s="3">
        <f t="shared" si="38"/>
        <v>3.592175895</v>
      </c>
      <c r="AC112" s="4">
        <f t="shared" si="39"/>
        <v>35.921758949999997</v>
      </c>
      <c r="AD112" s="2">
        <f t="shared" si="40"/>
        <v>771.09094998854346</v>
      </c>
      <c r="AE112" s="3">
        <f t="shared" si="41"/>
        <v>111</v>
      </c>
    </row>
    <row r="113" spans="1:31" x14ac:dyDescent="0.3">
      <c r="A113">
        <f t="shared" si="25"/>
        <v>112</v>
      </c>
      <c r="B113">
        <f t="shared" si="42"/>
        <v>112000</v>
      </c>
      <c r="C113">
        <f t="shared" si="48"/>
        <v>290</v>
      </c>
      <c r="D113">
        <f t="shared" si="48"/>
        <v>2.5</v>
      </c>
      <c r="E113">
        <f t="shared" si="48"/>
        <v>1.7</v>
      </c>
      <c r="F113">
        <f t="shared" si="48"/>
        <v>48</v>
      </c>
      <c r="G113">
        <f t="shared" si="48"/>
        <v>21</v>
      </c>
      <c r="I113" s="2">
        <f t="shared" si="27"/>
        <v>1139.47219435585</v>
      </c>
      <c r="J113">
        <f t="shared" si="31"/>
        <v>112000</v>
      </c>
      <c r="K113">
        <f t="shared" si="32"/>
        <v>3300</v>
      </c>
      <c r="L113" s="3">
        <f t="shared" si="33"/>
        <v>3.6245378399999999</v>
      </c>
      <c r="M113" s="3">
        <f t="shared" si="34"/>
        <v>36.2453784</v>
      </c>
      <c r="N113" s="2">
        <f t="shared" si="35"/>
        <v>867.32219435585</v>
      </c>
      <c r="Q113" s="1">
        <f t="shared" si="28"/>
        <v>112</v>
      </c>
      <c r="R113">
        <f t="shared" si="29"/>
        <v>112000</v>
      </c>
      <c r="S113">
        <f t="shared" si="47"/>
        <v>290</v>
      </c>
      <c r="T113">
        <f t="shared" si="47"/>
        <v>2.5</v>
      </c>
      <c r="U113">
        <f t="shared" si="47"/>
        <v>1.7</v>
      </c>
      <c r="V113">
        <f t="shared" si="47"/>
        <v>47</v>
      </c>
      <c r="W113">
        <f t="shared" si="47"/>
        <v>22</v>
      </c>
      <c r="Y113" s="2">
        <f t="shared" si="30"/>
        <v>1047.1751141370482</v>
      </c>
      <c r="Z113">
        <f t="shared" si="36"/>
        <v>112000</v>
      </c>
      <c r="AA113">
        <f t="shared" si="37"/>
        <v>3300</v>
      </c>
      <c r="AB113" s="3">
        <f t="shared" si="38"/>
        <v>3.6245378399999999</v>
      </c>
      <c r="AC113" s="4">
        <f t="shared" si="39"/>
        <v>36.2453784</v>
      </c>
      <c r="AD113" s="2">
        <f t="shared" si="40"/>
        <v>775.02511413704826</v>
      </c>
      <c r="AE113" s="3">
        <f t="shared" si="41"/>
        <v>112</v>
      </c>
    </row>
    <row r="114" spans="1:31" x14ac:dyDescent="0.3">
      <c r="A114">
        <f t="shared" si="25"/>
        <v>113</v>
      </c>
      <c r="B114">
        <f t="shared" si="42"/>
        <v>113000</v>
      </c>
      <c r="C114">
        <f t="shared" si="48"/>
        <v>290</v>
      </c>
      <c r="D114">
        <f t="shared" si="48"/>
        <v>2.5</v>
      </c>
      <c r="E114">
        <f t="shared" si="48"/>
        <v>1.7</v>
      </c>
      <c r="F114">
        <f t="shared" si="48"/>
        <v>48</v>
      </c>
      <c r="G114">
        <f t="shared" si="48"/>
        <v>21</v>
      </c>
      <c r="I114" s="2">
        <f t="shared" si="27"/>
        <v>1144.4595217271119</v>
      </c>
      <c r="J114">
        <f t="shared" si="31"/>
        <v>113000</v>
      </c>
      <c r="K114">
        <f t="shared" si="32"/>
        <v>3300</v>
      </c>
      <c r="L114" s="3">
        <f t="shared" si="33"/>
        <v>3.6568997849999998</v>
      </c>
      <c r="M114" s="3">
        <f t="shared" si="34"/>
        <v>36.568997849999995</v>
      </c>
      <c r="N114" s="2">
        <f t="shared" si="35"/>
        <v>872.30952172711193</v>
      </c>
      <c r="Q114" s="1">
        <f t="shared" si="28"/>
        <v>113</v>
      </c>
      <c r="R114">
        <f t="shared" si="29"/>
        <v>113000</v>
      </c>
      <c r="S114">
        <f t="shared" si="47"/>
        <v>290</v>
      </c>
      <c r="T114">
        <f t="shared" si="47"/>
        <v>2.5</v>
      </c>
      <c r="U114">
        <f t="shared" si="47"/>
        <v>1.7</v>
      </c>
      <c r="V114">
        <f t="shared" si="47"/>
        <v>47</v>
      </c>
      <c r="W114">
        <f t="shared" si="47"/>
        <v>22</v>
      </c>
      <c r="Y114" s="2">
        <f t="shared" si="30"/>
        <v>1051.105093916701</v>
      </c>
      <c r="Z114">
        <f t="shared" si="36"/>
        <v>113000</v>
      </c>
      <c r="AA114">
        <f t="shared" si="37"/>
        <v>3300</v>
      </c>
      <c r="AB114" s="3">
        <f t="shared" si="38"/>
        <v>3.6568997849999998</v>
      </c>
      <c r="AC114" s="4">
        <f t="shared" si="39"/>
        <v>36.568997849999995</v>
      </c>
      <c r="AD114" s="2">
        <f t="shared" si="40"/>
        <v>778.955093916701</v>
      </c>
      <c r="AE114" s="3">
        <f t="shared" si="41"/>
        <v>113</v>
      </c>
    </row>
    <row r="115" spans="1:31" x14ac:dyDescent="0.3">
      <c r="A115">
        <f t="shared" si="25"/>
        <v>114</v>
      </c>
      <c r="B115">
        <f t="shared" si="42"/>
        <v>114000</v>
      </c>
      <c r="C115">
        <f t="shared" si="48"/>
        <v>290</v>
      </c>
      <c r="D115">
        <f t="shared" si="48"/>
        <v>2.5</v>
      </c>
      <c r="E115">
        <f t="shared" si="48"/>
        <v>1.7</v>
      </c>
      <c r="F115">
        <f t="shared" si="48"/>
        <v>48</v>
      </c>
      <c r="G115">
        <f t="shared" si="48"/>
        <v>21</v>
      </c>
      <c r="I115" s="2">
        <f t="shared" si="27"/>
        <v>1149.4437181705873</v>
      </c>
      <c r="J115">
        <f t="shared" si="31"/>
        <v>114000</v>
      </c>
      <c r="K115">
        <f t="shared" si="32"/>
        <v>3300</v>
      </c>
      <c r="L115" s="3">
        <f t="shared" si="33"/>
        <v>3.6892617300000001</v>
      </c>
      <c r="M115" s="3">
        <f t="shared" si="34"/>
        <v>36.892617299999998</v>
      </c>
      <c r="N115" s="2">
        <f t="shared" si="35"/>
        <v>877.29371817058734</v>
      </c>
      <c r="Q115" s="1">
        <f t="shared" si="28"/>
        <v>114</v>
      </c>
      <c r="R115">
        <f t="shared" si="29"/>
        <v>114000</v>
      </c>
      <c r="S115">
        <f t="shared" si="47"/>
        <v>290</v>
      </c>
      <c r="T115">
        <f t="shared" si="47"/>
        <v>2.5</v>
      </c>
      <c r="U115">
        <f t="shared" si="47"/>
        <v>1.7</v>
      </c>
      <c r="V115">
        <f t="shared" si="47"/>
        <v>47</v>
      </c>
      <c r="W115">
        <f t="shared" si="47"/>
        <v>22</v>
      </c>
      <c r="Y115" s="2">
        <f t="shared" si="30"/>
        <v>1055.0310752681492</v>
      </c>
      <c r="Z115">
        <f t="shared" si="36"/>
        <v>114000</v>
      </c>
      <c r="AA115">
        <f t="shared" si="37"/>
        <v>3300</v>
      </c>
      <c r="AB115" s="3">
        <f t="shared" si="38"/>
        <v>3.6892617300000001</v>
      </c>
      <c r="AC115" s="4">
        <f t="shared" si="39"/>
        <v>36.892617299999998</v>
      </c>
      <c r="AD115" s="2">
        <f t="shared" si="40"/>
        <v>782.88107526814917</v>
      </c>
      <c r="AE115" s="3">
        <f t="shared" si="41"/>
        <v>114</v>
      </c>
    </row>
    <row r="116" spans="1:31" x14ac:dyDescent="0.3">
      <c r="A116">
        <f t="shared" si="25"/>
        <v>115</v>
      </c>
      <c r="B116">
        <f t="shared" si="42"/>
        <v>115000</v>
      </c>
      <c r="C116">
        <f t="shared" si="48"/>
        <v>290</v>
      </c>
      <c r="D116">
        <f t="shared" si="48"/>
        <v>2.5</v>
      </c>
      <c r="E116">
        <f t="shared" si="48"/>
        <v>1.7</v>
      </c>
      <c r="F116">
        <f t="shared" si="48"/>
        <v>48</v>
      </c>
      <c r="G116">
        <f t="shared" si="48"/>
        <v>21</v>
      </c>
      <c r="I116" s="2">
        <f t="shared" si="27"/>
        <v>1154.4249292839527</v>
      </c>
      <c r="J116">
        <f t="shared" si="31"/>
        <v>115000</v>
      </c>
      <c r="K116">
        <f t="shared" si="32"/>
        <v>3300</v>
      </c>
      <c r="L116" s="3">
        <f t="shared" si="33"/>
        <v>3.721623675</v>
      </c>
      <c r="M116" s="3">
        <f t="shared" si="34"/>
        <v>37.21623675</v>
      </c>
      <c r="N116" s="2">
        <f t="shared" si="35"/>
        <v>882.2749292839527</v>
      </c>
      <c r="Q116" s="1">
        <f t="shared" si="28"/>
        <v>115</v>
      </c>
      <c r="R116">
        <f t="shared" si="29"/>
        <v>115000</v>
      </c>
      <c r="S116">
        <f t="shared" ref="S116:W131" si="49">S115</f>
        <v>290</v>
      </c>
      <c r="T116">
        <f t="shared" si="49"/>
        <v>2.5</v>
      </c>
      <c r="U116">
        <f t="shared" si="49"/>
        <v>1.7</v>
      </c>
      <c r="V116">
        <f t="shared" si="49"/>
        <v>47</v>
      </c>
      <c r="W116">
        <f t="shared" si="49"/>
        <v>22</v>
      </c>
      <c r="Y116" s="2">
        <f t="shared" si="30"/>
        <v>1058.9532358694007</v>
      </c>
      <c r="Z116">
        <f t="shared" si="36"/>
        <v>115000</v>
      </c>
      <c r="AA116">
        <f t="shared" si="37"/>
        <v>3300</v>
      </c>
      <c r="AB116" s="3">
        <f t="shared" si="38"/>
        <v>3.721623675</v>
      </c>
      <c r="AC116" s="4">
        <f t="shared" si="39"/>
        <v>37.21623675</v>
      </c>
      <c r="AD116" s="2">
        <f t="shared" si="40"/>
        <v>786.80323586940074</v>
      </c>
      <c r="AE116" s="3">
        <f t="shared" si="41"/>
        <v>115</v>
      </c>
    </row>
    <row r="117" spans="1:31" x14ac:dyDescent="0.3">
      <c r="A117">
        <f t="shared" ref="A117:A180" si="50">A116+1</f>
        <v>116</v>
      </c>
      <c r="B117">
        <f t="shared" si="42"/>
        <v>116000</v>
      </c>
      <c r="C117">
        <f t="shared" ref="C117:G132" si="51">C116</f>
        <v>290</v>
      </c>
      <c r="D117">
        <f t="shared" si="51"/>
        <v>2.5</v>
      </c>
      <c r="E117">
        <f t="shared" si="51"/>
        <v>1.7</v>
      </c>
      <c r="F117">
        <f t="shared" si="51"/>
        <v>48</v>
      </c>
      <c r="G117">
        <f t="shared" si="51"/>
        <v>21</v>
      </c>
      <c r="I117" s="2">
        <f t="shared" ref="I117:I180" si="52">C117+(F117/D117)*A117+(E117*G117^2/D117)*(1-A117/G117-EXP(-A117/G117))</f>
        <v>1159.4032938941482</v>
      </c>
      <c r="J117">
        <f t="shared" si="31"/>
        <v>116000</v>
      </c>
      <c r="K117">
        <f t="shared" si="32"/>
        <v>3300</v>
      </c>
      <c r="L117" s="3">
        <f t="shared" si="33"/>
        <v>3.7539856199999999</v>
      </c>
      <c r="M117" s="3">
        <f t="shared" si="34"/>
        <v>37.539856200000003</v>
      </c>
      <c r="N117" s="2">
        <f t="shared" si="35"/>
        <v>887.25329389414821</v>
      </c>
      <c r="Q117" s="1">
        <f t="shared" ref="Q117:Q180" si="53">Q116+1</f>
        <v>116</v>
      </c>
      <c r="R117">
        <f t="shared" ref="R117:R180" si="54">Q117*1000</f>
        <v>116000</v>
      </c>
      <c r="S117">
        <f t="shared" si="49"/>
        <v>290</v>
      </c>
      <c r="T117">
        <f t="shared" si="49"/>
        <v>2.5</v>
      </c>
      <c r="U117">
        <f t="shared" si="49"/>
        <v>1.7</v>
      </c>
      <c r="V117">
        <f t="shared" si="49"/>
        <v>47</v>
      </c>
      <c r="W117">
        <f t="shared" si="49"/>
        <v>22</v>
      </c>
      <c r="Y117" s="2">
        <f t="shared" ref="Y117:Y180" si="55">S117+(V117/T117)*Q117+(U117*W117^2/T117)*(1-Q117/W117-EXP(-Q117/W117))</f>
        <v>1062.8717455029951</v>
      </c>
      <c r="Z117">
        <f t="shared" si="36"/>
        <v>116000</v>
      </c>
      <c r="AA117">
        <f t="shared" si="37"/>
        <v>3300</v>
      </c>
      <c r="AB117" s="3">
        <f t="shared" si="38"/>
        <v>3.7539856199999999</v>
      </c>
      <c r="AC117" s="4">
        <f t="shared" si="39"/>
        <v>37.539856200000003</v>
      </c>
      <c r="AD117" s="2">
        <f t="shared" si="40"/>
        <v>790.72174550299508</v>
      </c>
      <c r="AE117" s="3">
        <f t="shared" si="41"/>
        <v>116</v>
      </c>
    </row>
    <row r="118" spans="1:31" x14ac:dyDescent="0.3">
      <c r="A118">
        <f t="shared" si="50"/>
        <v>117</v>
      </c>
      <c r="B118">
        <f t="shared" si="42"/>
        <v>117000</v>
      </c>
      <c r="C118">
        <f t="shared" si="51"/>
        <v>290</v>
      </c>
      <c r="D118">
        <f t="shared" si="51"/>
        <v>2.5</v>
      </c>
      <c r="E118">
        <f t="shared" si="51"/>
        <v>1.7</v>
      </c>
      <c r="F118">
        <f t="shared" si="51"/>
        <v>48</v>
      </c>
      <c r="G118">
        <f t="shared" si="51"/>
        <v>21</v>
      </c>
      <c r="I118" s="2">
        <f t="shared" si="52"/>
        <v>1164.3789443722396</v>
      </c>
      <c r="J118">
        <f t="shared" si="31"/>
        <v>117000</v>
      </c>
      <c r="K118">
        <f t="shared" si="32"/>
        <v>3300</v>
      </c>
      <c r="L118" s="3">
        <f t="shared" si="33"/>
        <v>3.7863475649999998</v>
      </c>
      <c r="M118" s="3">
        <f t="shared" si="34"/>
        <v>37.863475649999998</v>
      </c>
      <c r="N118" s="2">
        <f t="shared" si="35"/>
        <v>892.22894437223965</v>
      </c>
      <c r="Q118" s="1">
        <f t="shared" si="53"/>
        <v>117</v>
      </c>
      <c r="R118">
        <f t="shared" si="54"/>
        <v>117000</v>
      </c>
      <c r="S118">
        <f t="shared" si="49"/>
        <v>290</v>
      </c>
      <c r="T118">
        <f t="shared" si="49"/>
        <v>2.5</v>
      </c>
      <c r="U118">
        <f t="shared" si="49"/>
        <v>1.7</v>
      </c>
      <c r="V118">
        <f t="shared" si="49"/>
        <v>47</v>
      </c>
      <c r="W118">
        <f t="shared" si="49"/>
        <v>22</v>
      </c>
      <c r="Y118" s="2">
        <f t="shared" si="55"/>
        <v>1066.7867664068481</v>
      </c>
      <c r="Z118">
        <f t="shared" si="36"/>
        <v>117000</v>
      </c>
      <c r="AA118">
        <f t="shared" si="37"/>
        <v>3300</v>
      </c>
      <c r="AB118" s="3">
        <f t="shared" si="38"/>
        <v>3.7863475649999998</v>
      </c>
      <c r="AC118" s="4">
        <f t="shared" si="39"/>
        <v>37.863475649999998</v>
      </c>
      <c r="AD118" s="2">
        <f t="shared" si="40"/>
        <v>794.6367664068481</v>
      </c>
      <c r="AE118" s="3">
        <f t="shared" si="41"/>
        <v>117</v>
      </c>
    </row>
    <row r="119" spans="1:31" x14ac:dyDescent="0.3">
      <c r="A119">
        <f t="shared" si="50"/>
        <v>118</v>
      </c>
      <c r="B119">
        <f t="shared" si="42"/>
        <v>118000</v>
      </c>
      <c r="C119">
        <f t="shared" si="51"/>
        <v>290</v>
      </c>
      <c r="D119">
        <f t="shared" si="51"/>
        <v>2.5</v>
      </c>
      <c r="E119">
        <f t="shared" si="51"/>
        <v>1.7</v>
      </c>
      <c r="F119">
        <f t="shared" si="51"/>
        <v>48</v>
      </c>
      <c r="G119">
        <f t="shared" si="51"/>
        <v>21</v>
      </c>
      <c r="I119" s="2">
        <f t="shared" si="52"/>
        <v>1169.352006933635</v>
      </c>
      <c r="J119">
        <f t="shared" si="31"/>
        <v>118000</v>
      </c>
      <c r="K119">
        <f t="shared" si="32"/>
        <v>3300</v>
      </c>
      <c r="L119" s="3">
        <f t="shared" si="33"/>
        <v>3.8187095100000001</v>
      </c>
      <c r="M119" s="3">
        <f t="shared" si="34"/>
        <v>38.187095100000001</v>
      </c>
      <c r="N119" s="2">
        <f t="shared" si="35"/>
        <v>897.20200693363506</v>
      </c>
      <c r="Q119" s="1">
        <f t="shared" si="53"/>
        <v>118</v>
      </c>
      <c r="R119">
        <f t="shared" si="54"/>
        <v>118000</v>
      </c>
      <c r="S119">
        <f t="shared" si="49"/>
        <v>290</v>
      </c>
      <c r="T119">
        <f t="shared" si="49"/>
        <v>2.5</v>
      </c>
      <c r="U119">
        <f t="shared" si="49"/>
        <v>1.7</v>
      </c>
      <c r="V119">
        <f t="shared" si="49"/>
        <v>47</v>
      </c>
      <c r="W119">
        <f t="shared" si="49"/>
        <v>22</v>
      </c>
      <c r="Y119" s="2">
        <f t="shared" si="55"/>
        <v>1070.6984536095179</v>
      </c>
      <c r="Z119">
        <f t="shared" si="36"/>
        <v>118000</v>
      </c>
      <c r="AA119">
        <f t="shared" si="37"/>
        <v>3300</v>
      </c>
      <c r="AB119" s="3">
        <f t="shared" si="38"/>
        <v>3.8187095100000001</v>
      </c>
      <c r="AC119" s="4">
        <f t="shared" si="39"/>
        <v>38.187095100000001</v>
      </c>
      <c r="AD119" s="2">
        <f t="shared" si="40"/>
        <v>798.54845360951788</v>
      </c>
      <c r="AE119" s="3">
        <f t="shared" si="41"/>
        <v>118</v>
      </c>
    </row>
    <row r="120" spans="1:31" x14ac:dyDescent="0.3">
      <c r="A120">
        <f t="shared" si="50"/>
        <v>119</v>
      </c>
      <c r="B120">
        <f t="shared" si="42"/>
        <v>119000</v>
      </c>
      <c r="C120">
        <f t="shared" si="51"/>
        <v>290</v>
      </c>
      <c r="D120">
        <f t="shared" si="51"/>
        <v>2.5</v>
      </c>
      <c r="E120">
        <f t="shared" si="51"/>
        <v>1.7</v>
      </c>
      <c r="F120">
        <f t="shared" si="51"/>
        <v>48</v>
      </c>
      <c r="G120">
        <f t="shared" si="51"/>
        <v>21</v>
      </c>
      <c r="I120" s="2">
        <f t="shared" si="52"/>
        <v>1174.3226019243407</v>
      </c>
      <c r="J120">
        <f t="shared" si="31"/>
        <v>119000</v>
      </c>
      <c r="K120">
        <f t="shared" si="32"/>
        <v>3300</v>
      </c>
      <c r="L120" s="3">
        <f t="shared" si="33"/>
        <v>3.851071455</v>
      </c>
      <c r="M120" s="3">
        <f t="shared" si="34"/>
        <v>38.510714550000003</v>
      </c>
      <c r="N120" s="2">
        <f t="shared" si="35"/>
        <v>902.17260192434071</v>
      </c>
      <c r="Q120" s="1">
        <f t="shared" si="53"/>
        <v>119</v>
      </c>
      <c r="R120">
        <f t="shared" si="54"/>
        <v>119000</v>
      </c>
      <c r="S120">
        <f t="shared" si="49"/>
        <v>290</v>
      </c>
      <c r="T120">
        <f t="shared" si="49"/>
        <v>2.5</v>
      </c>
      <c r="U120">
        <f t="shared" si="49"/>
        <v>1.7</v>
      </c>
      <c r="V120">
        <f t="shared" si="49"/>
        <v>47</v>
      </c>
      <c r="W120">
        <f t="shared" si="49"/>
        <v>22</v>
      </c>
      <c r="Y120" s="2">
        <f t="shared" si="55"/>
        <v>1074.6069552505626</v>
      </c>
      <c r="Z120">
        <f t="shared" si="36"/>
        <v>119000</v>
      </c>
      <c r="AA120">
        <f t="shared" si="37"/>
        <v>3300</v>
      </c>
      <c r="AB120" s="3">
        <f t="shared" si="38"/>
        <v>3.851071455</v>
      </c>
      <c r="AC120" s="4">
        <f t="shared" si="39"/>
        <v>38.510714550000003</v>
      </c>
      <c r="AD120" s="2">
        <f t="shared" si="40"/>
        <v>802.4569552505626</v>
      </c>
      <c r="AE120" s="3">
        <f t="shared" si="41"/>
        <v>119</v>
      </c>
    </row>
    <row r="121" spans="1:31" x14ac:dyDescent="0.3">
      <c r="A121">
        <f t="shared" si="50"/>
        <v>120</v>
      </c>
      <c r="B121">
        <f t="shared" si="42"/>
        <v>120000</v>
      </c>
      <c r="C121">
        <f t="shared" si="51"/>
        <v>290</v>
      </c>
      <c r="D121">
        <f t="shared" si="51"/>
        <v>2.5</v>
      </c>
      <c r="E121">
        <f t="shared" si="51"/>
        <v>1.7</v>
      </c>
      <c r="F121">
        <f t="shared" si="51"/>
        <v>48</v>
      </c>
      <c r="G121">
        <f t="shared" si="51"/>
        <v>21</v>
      </c>
      <c r="I121" s="2">
        <f t="shared" si="52"/>
        <v>1179.2908440939088</v>
      </c>
      <c r="J121">
        <f t="shared" si="31"/>
        <v>120000</v>
      </c>
      <c r="K121">
        <f t="shared" si="32"/>
        <v>3300</v>
      </c>
      <c r="L121" s="3">
        <f t="shared" si="33"/>
        <v>3.8834333999999999</v>
      </c>
      <c r="M121" s="3">
        <f t="shared" si="34"/>
        <v>38.834333999999998</v>
      </c>
      <c r="N121" s="2">
        <f t="shared" si="35"/>
        <v>907.14084409390887</v>
      </c>
      <c r="Q121" s="1">
        <f t="shared" si="53"/>
        <v>120</v>
      </c>
      <c r="R121">
        <f t="shared" si="54"/>
        <v>120000</v>
      </c>
      <c r="S121">
        <f t="shared" si="49"/>
        <v>290</v>
      </c>
      <c r="T121">
        <f t="shared" si="49"/>
        <v>2.5</v>
      </c>
      <c r="U121">
        <f t="shared" si="49"/>
        <v>1.7</v>
      </c>
      <c r="V121">
        <f t="shared" si="49"/>
        <v>47</v>
      </c>
      <c r="W121">
        <f t="shared" si="49"/>
        <v>22</v>
      </c>
      <c r="Y121" s="2">
        <f t="shared" si="55"/>
        <v>1078.5124128866685</v>
      </c>
      <c r="Z121">
        <f t="shared" si="36"/>
        <v>120000</v>
      </c>
      <c r="AA121">
        <f t="shared" si="37"/>
        <v>3300</v>
      </c>
      <c r="AB121" s="3">
        <f t="shared" si="38"/>
        <v>3.8834333999999999</v>
      </c>
      <c r="AC121" s="4">
        <f t="shared" si="39"/>
        <v>38.834333999999998</v>
      </c>
      <c r="AD121" s="2">
        <f t="shared" si="40"/>
        <v>806.36241288666849</v>
      </c>
      <c r="AE121" s="3">
        <f t="shared" si="41"/>
        <v>120</v>
      </c>
    </row>
    <row r="122" spans="1:31" x14ac:dyDescent="0.3">
      <c r="A122">
        <f t="shared" si="50"/>
        <v>121</v>
      </c>
      <c r="B122">
        <f t="shared" si="42"/>
        <v>121000</v>
      </c>
      <c r="C122">
        <f t="shared" si="51"/>
        <v>290</v>
      </c>
      <c r="D122">
        <f t="shared" si="51"/>
        <v>2.5</v>
      </c>
      <c r="E122">
        <f t="shared" si="51"/>
        <v>1.7</v>
      </c>
      <c r="F122">
        <f t="shared" si="51"/>
        <v>48</v>
      </c>
      <c r="G122">
        <f t="shared" si="51"/>
        <v>21</v>
      </c>
      <c r="I122" s="2">
        <f t="shared" si="52"/>
        <v>1184.2568428556865</v>
      </c>
      <c r="J122">
        <f t="shared" si="31"/>
        <v>121000</v>
      </c>
      <c r="K122">
        <f t="shared" si="32"/>
        <v>3300</v>
      </c>
      <c r="L122" s="3">
        <f t="shared" si="33"/>
        <v>3.9157953449999998</v>
      </c>
      <c r="M122" s="3">
        <f t="shared" si="34"/>
        <v>39.157953450000001</v>
      </c>
      <c r="N122" s="2">
        <f t="shared" si="35"/>
        <v>912.10684285568652</v>
      </c>
      <c r="Q122" s="1">
        <f t="shared" si="53"/>
        <v>121</v>
      </c>
      <c r="R122">
        <f t="shared" si="54"/>
        <v>121000</v>
      </c>
      <c r="S122">
        <f t="shared" si="49"/>
        <v>290</v>
      </c>
      <c r="T122">
        <f t="shared" si="49"/>
        <v>2.5</v>
      </c>
      <c r="U122">
        <f t="shared" si="49"/>
        <v>1.7</v>
      </c>
      <c r="V122">
        <f t="shared" si="49"/>
        <v>47</v>
      </c>
      <c r="W122">
        <f t="shared" si="49"/>
        <v>22</v>
      </c>
      <c r="Y122" s="2">
        <f t="shared" si="55"/>
        <v>1082.4149617841729</v>
      </c>
      <c r="Z122">
        <f t="shared" si="36"/>
        <v>121000</v>
      </c>
      <c r="AA122">
        <f t="shared" si="37"/>
        <v>3300</v>
      </c>
      <c r="AB122" s="3">
        <f t="shared" si="38"/>
        <v>3.9157953449999998</v>
      </c>
      <c r="AC122" s="4">
        <f t="shared" si="39"/>
        <v>39.157953450000001</v>
      </c>
      <c r="AD122" s="2">
        <f t="shared" si="40"/>
        <v>810.2649617841729</v>
      </c>
      <c r="AE122" s="3">
        <f t="shared" si="41"/>
        <v>121</v>
      </c>
    </row>
    <row r="123" spans="1:31" x14ac:dyDescent="0.3">
      <c r="A123">
        <f t="shared" si="50"/>
        <v>122</v>
      </c>
      <c r="B123">
        <f t="shared" si="42"/>
        <v>122000</v>
      </c>
      <c r="C123">
        <f t="shared" si="51"/>
        <v>290</v>
      </c>
      <c r="D123">
        <f t="shared" si="51"/>
        <v>2.5</v>
      </c>
      <c r="E123">
        <f t="shared" si="51"/>
        <v>1.7</v>
      </c>
      <c r="F123">
        <f t="shared" si="51"/>
        <v>48</v>
      </c>
      <c r="G123">
        <f t="shared" si="51"/>
        <v>21</v>
      </c>
      <c r="I123" s="2">
        <f t="shared" si="52"/>
        <v>1189.220702534968</v>
      </c>
      <c r="J123">
        <f t="shared" si="31"/>
        <v>122000</v>
      </c>
      <c r="K123">
        <f t="shared" si="32"/>
        <v>3300</v>
      </c>
      <c r="L123" s="3">
        <f t="shared" si="33"/>
        <v>3.9481572900000002</v>
      </c>
      <c r="M123" s="3">
        <f t="shared" si="34"/>
        <v>39.481572900000003</v>
      </c>
      <c r="N123" s="2">
        <f t="shared" si="35"/>
        <v>917.07070253496806</v>
      </c>
      <c r="Q123" s="1">
        <f t="shared" si="53"/>
        <v>122</v>
      </c>
      <c r="R123">
        <f t="shared" si="54"/>
        <v>122000</v>
      </c>
      <c r="S123">
        <f t="shared" si="49"/>
        <v>290</v>
      </c>
      <c r="T123">
        <f t="shared" si="49"/>
        <v>2.5</v>
      </c>
      <c r="U123">
        <f t="shared" si="49"/>
        <v>1.7</v>
      </c>
      <c r="V123">
        <f t="shared" si="49"/>
        <v>47</v>
      </c>
      <c r="W123">
        <f t="shared" si="49"/>
        <v>22</v>
      </c>
      <c r="Y123" s="2">
        <f t="shared" si="55"/>
        <v>1086.314731198587</v>
      </c>
      <c r="Z123">
        <f t="shared" si="36"/>
        <v>122000</v>
      </c>
      <c r="AA123">
        <f t="shared" si="37"/>
        <v>3300</v>
      </c>
      <c r="AB123" s="3">
        <f t="shared" si="38"/>
        <v>3.9481572900000002</v>
      </c>
      <c r="AC123" s="4">
        <f t="shared" si="39"/>
        <v>39.481572900000003</v>
      </c>
      <c r="AD123" s="2">
        <f t="shared" si="40"/>
        <v>814.16473119858699</v>
      </c>
      <c r="AE123" s="3">
        <f t="shared" si="41"/>
        <v>122</v>
      </c>
    </row>
    <row r="124" spans="1:31" x14ac:dyDescent="0.3">
      <c r="A124">
        <f t="shared" si="50"/>
        <v>123</v>
      </c>
      <c r="B124">
        <f t="shared" si="42"/>
        <v>123000</v>
      </c>
      <c r="C124">
        <f t="shared" si="51"/>
        <v>290</v>
      </c>
      <c r="D124">
        <f t="shared" si="51"/>
        <v>2.5</v>
      </c>
      <c r="E124">
        <f t="shared" si="51"/>
        <v>1.7</v>
      </c>
      <c r="F124">
        <f t="shared" si="51"/>
        <v>48</v>
      </c>
      <c r="G124">
        <f t="shared" si="51"/>
        <v>21</v>
      </c>
      <c r="I124" s="2">
        <f t="shared" si="52"/>
        <v>1194.1825226056023</v>
      </c>
      <c r="J124">
        <f t="shared" si="31"/>
        <v>123000</v>
      </c>
      <c r="K124">
        <f t="shared" si="32"/>
        <v>3300</v>
      </c>
      <c r="L124" s="3">
        <f t="shared" si="33"/>
        <v>3.980519235</v>
      </c>
      <c r="M124" s="3">
        <f t="shared" si="34"/>
        <v>39.805192349999999</v>
      </c>
      <c r="N124" s="2">
        <f t="shared" si="35"/>
        <v>922.03252260560237</v>
      </c>
      <c r="Q124" s="1">
        <f t="shared" si="53"/>
        <v>123</v>
      </c>
      <c r="R124">
        <f t="shared" si="54"/>
        <v>123000</v>
      </c>
      <c r="S124">
        <f t="shared" si="49"/>
        <v>290</v>
      </c>
      <c r="T124">
        <f t="shared" si="49"/>
        <v>2.5</v>
      </c>
      <c r="U124">
        <f t="shared" si="49"/>
        <v>1.7</v>
      </c>
      <c r="V124">
        <f t="shared" si="49"/>
        <v>47</v>
      </c>
      <c r="W124">
        <f t="shared" si="49"/>
        <v>22</v>
      </c>
      <c r="Y124" s="2">
        <f t="shared" si="55"/>
        <v>1090.2118446417012</v>
      </c>
      <c r="Z124">
        <f t="shared" si="36"/>
        <v>123000</v>
      </c>
      <c r="AA124">
        <f t="shared" si="37"/>
        <v>3300</v>
      </c>
      <c r="AB124" s="3">
        <f t="shared" si="38"/>
        <v>3.980519235</v>
      </c>
      <c r="AC124" s="4">
        <f t="shared" si="39"/>
        <v>39.805192349999999</v>
      </c>
      <c r="AD124" s="2">
        <f t="shared" si="40"/>
        <v>818.06184464170121</v>
      </c>
      <c r="AE124" s="3">
        <f t="shared" si="41"/>
        <v>123</v>
      </c>
    </row>
    <row r="125" spans="1:31" x14ac:dyDescent="0.3">
      <c r="A125">
        <f t="shared" si="50"/>
        <v>124</v>
      </c>
      <c r="B125">
        <f t="shared" si="42"/>
        <v>124000</v>
      </c>
      <c r="C125">
        <f t="shared" si="51"/>
        <v>290</v>
      </c>
      <c r="D125">
        <f t="shared" si="51"/>
        <v>2.5</v>
      </c>
      <c r="E125">
        <f t="shared" si="51"/>
        <v>1.7</v>
      </c>
      <c r="F125">
        <f t="shared" si="51"/>
        <v>48</v>
      </c>
      <c r="G125">
        <f t="shared" si="51"/>
        <v>21</v>
      </c>
      <c r="I125" s="2">
        <f t="shared" si="52"/>
        <v>1199.1423979156029</v>
      </c>
      <c r="J125">
        <f t="shared" si="31"/>
        <v>124000</v>
      </c>
      <c r="K125">
        <f t="shared" si="32"/>
        <v>3300</v>
      </c>
      <c r="L125" s="3">
        <f t="shared" si="33"/>
        <v>4.0128811799999999</v>
      </c>
      <c r="M125" s="3">
        <f t="shared" si="34"/>
        <v>40.128811800000001</v>
      </c>
      <c r="N125" s="2">
        <f t="shared" si="35"/>
        <v>926.99239791560296</v>
      </c>
      <c r="Q125" s="1">
        <f t="shared" si="53"/>
        <v>124</v>
      </c>
      <c r="R125">
        <f t="shared" si="54"/>
        <v>124000</v>
      </c>
      <c r="S125">
        <f t="shared" si="49"/>
        <v>290</v>
      </c>
      <c r="T125">
        <f t="shared" si="49"/>
        <v>2.5</v>
      </c>
      <c r="U125">
        <f t="shared" si="49"/>
        <v>1.7</v>
      </c>
      <c r="V125">
        <f t="shared" si="49"/>
        <v>47</v>
      </c>
      <c r="W125">
        <f t="shared" si="49"/>
        <v>22</v>
      </c>
      <c r="Y125" s="2">
        <f t="shared" si="55"/>
        <v>1094.1064201368149</v>
      </c>
      <c r="Z125">
        <f t="shared" si="36"/>
        <v>124000</v>
      </c>
      <c r="AA125">
        <f t="shared" si="37"/>
        <v>3300</v>
      </c>
      <c r="AB125" s="3">
        <f t="shared" si="38"/>
        <v>4.0128811799999999</v>
      </c>
      <c r="AC125" s="5">
        <f t="shared" si="39"/>
        <v>40.128811800000001</v>
      </c>
      <c r="AD125" s="2">
        <f t="shared" si="40"/>
        <v>821.95642013681493</v>
      </c>
      <c r="AE125" s="3">
        <f t="shared" si="41"/>
        <v>124</v>
      </c>
    </row>
    <row r="126" spans="1:31" x14ac:dyDescent="0.3">
      <c r="A126">
        <f t="shared" si="50"/>
        <v>125</v>
      </c>
      <c r="B126">
        <f t="shared" si="42"/>
        <v>125000</v>
      </c>
      <c r="C126">
        <f t="shared" si="51"/>
        <v>290</v>
      </c>
      <c r="D126">
        <f t="shared" si="51"/>
        <v>2.5</v>
      </c>
      <c r="E126">
        <f t="shared" si="51"/>
        <v>1.7</v>
      </c>
      <c r="F126">
        <f t="shared" si="51"/>
        <v>48</v>
      </c>
      <c r="G126">
        <f t="shared" si="51"/>
        <v>21</v>
      </c>
      <c r="I126" s="2">
        <f t="shared" si="52"/>
        <v>1204.1004189022622</v>
      </c>
      <c r="J126">
        <f t="shared" si="31"/>
        <v>125000</v>
      </c>
      <c r="K126">
        <f t="shared" si="32"/>
        <v>3300</v>
      </c>
      <c r="L126" s="3">
        <f t="shared" si="33"/>
        <v>4.0452431249999998</v>
      </c>
      <c r="M126" s="3">
        <f t="shared" si="34"/>
        <v>40.452431249999997</v>
      </c>
      <c r="N126" s="2">
        <f t="shared" si="35"/>
        <v>931.95041890226219</v>
      </c>
      <c r="Q126" s="1">
        <f t="shared" si="53"/>
        <v>125</v>
      </c>
      <c r="R126">
        <f t="shared" si="54"/>
        <v>125000</v>
      </c>
      <c r="S126">
        <f t="shared" si="49"/>
        <v>290</v>
      </c>
      <c r="T126">
        <f t="shared" si="49"/>
        <v>2.5</v>
      </c>
      <c r="U126">
        <f t="shared" si="49"/>
        <v>1.7</v>
      </c>
      <c r="V126">
        <f t="shared" si="49"/>
        <v>47</v>
      </c>
      <c r="W126">
        <f t="shared" si="49"/>
        <v>22</v>
      </c>
      <c r="Y126" s="2">
        <f t="shared" si="55"/>
        <v>1097.9985704626315</v>
      </c>
      <c r="Z126">
        <f t="shared" si="36"/>
        <v>125000</v>
      </c>
      <c r="AA126">
        <f t="shared" si="37"/>
        <v>3300</v>
      </c>
      <c r="AB126" s="3">
        <f t="shared" si="38"/>
        <v>4.0452431249999998</v>
      </c>
      <c r="AC126" s="4">
        <f t="shared" si="39"/>
        <v>40.452431249999997</v>
      </c>
      <c r="AD126" s="2">
        <f t="shared" si="40"/>
        <v>825.84857046263153</v>
      </c>
      <c r="AE126" s="3">
        <f t="shared" si="41"/>
        <v>125</v>
      </c>
    </row>
    <row r="127" spans="1:31" x14ac:dyDescent="0.3">
      <c r="A127">
        <f t="shared" si="50"/>
        <v>126</v>
      </c>
      <c r="B127">
        <f t="shared" si="42"/>
        <v>126000</v>
      </c>
      <c r="C127">
        <f t="shared" si="51"/>
        <v>290</v>
      </c>
      <c r="D127">
        <f t="shared" si="51"/>
        <v>2.5</v>
      </c>
      <c r="E127">
        <f t="shared" si="51"/>
        <v>1.7</v>
      </c>
      <c r="F127">
        <f t="shared" si="51"/>
        <v>48</v>
      </c>
      <c r="G127">
        <f t="shared" si="51"/>
        <v>21</v>
      </c>
      <c r="I127" s="2">
        <f t="shared" si="52"/>
        <v>1209.0566717972611</v>
      </c>
      <c r="J127">
        <f t="shared" si="31"/>
        <v>126000</v>
      </c>
      <c r="K127">
        <f t="shared" si="32"/>
        <v>3300</v>
      </c>
      <c r="L127" s="3">
        <f t="shared" si="33"/>
        <v>4.0776050699999997</v>
      </c>
      <c r="M127" s="3">
        <f t="shared" si="34"/>
        <v>40.776050699999999</v>
      </c>
      <c r="N127" s="2">
        <f t="shared" si="35"/>
        <v>936.90667179726108</v>
      </c>
      <c r="Q127" s="1">
        <f t="shared" si="53"/>
        <v>126</v>
      </c>
      <c r="R127">
        <f t="shared" si="54"/>
        <v>126000</v>
      </c>
      <c r="S127">
        <f t="shared" si="49"/>
        <v>290</v>
      </c>
      <c r="T127">
        <f t="shared" si="49"/>
        <v>2.5</v>
      </c>
      <c r="U127">
        <f t="shared" si="49"/>
        <v>1.7</v>
      </c>
      <c r="V127">
        <f t="shared" si="49"/>
        <v>47</v>
      </c>
      <c r="W127">
        <f t="shared" si="49"/>
        <v>22</v>
      </c>
      <c r="Y127" s="2">
        <f t="shared" si="55"/>
        <v>1101.8884033863112</v>
      </c>
      <c r="Z127">
        <f t="shared" si="36"/>
        <v>126000</v>
      </c>
      <c r="AA127">
        <f t="shared" si="37"/>
        <v>3300</v>
      </c>
      <c r="AB127" s="3">
        <f t="shared" si="38"/>
        <v>4.0776050699999997</v>
      </c>
      <c r="AC127" s="4">
        <f t="shared" si="39"/>
        <v>40.776050699999999</v>
      </c>
      <c r="AD127" s="2">
        <f t="shared" si="40"/>
        <v>829.73840338631123</v>
      </c>
      <c r="AE127" s="3">
        <f t="shared" si="41"/>
        <v>126</v>
      </c>
    </row>
    <row r="128" spans="1:31" x14ac:dyDescent="0.3">
      <c r="A128">
        <f t="shared" si="50"/>
        <v>127</v>
      </c>
      <c r="B128">
        <f t="shared" si="42"/>
        <v>127000</v>
      </c>
      <c r="C128">
        <f t="shared" si="51"/>
        <v>290</v>
      </c>
      <c r="D128">
        <f t="shared" si="51"/>
        <v>2.5</v>
      </c>
      <c r="E128">
        <f t="shared" si="51"/>
        <v>1.7</v>
      </c>
      <c r="F128">
        <f t="shared" si="51"/>
        <v>48</v>
      </c>
      <c r="G128">
        <f t="shared" si="51"/>
        <v>21</v>
      </c>
      <c r="I128" s="2">
        <f t="shared" si="52"/>
        <v>1214.0112388222469</v>
      </c>
      <c r="J128">
        <f t="shared" si="31"/>
        <v>127000</v>
      </c>
      <c r="K128">
        <f t="shared" si="32"/>
        <v>3300</v>
      </c>
      <c r="L128" s="3">
        <f t="shared" si="33"/>
        <v>4.1099670149999996</v>
      </c>
      <c r="M128" s="3">
        <f t="shared" si="34"/>
        <v>41.099670149999994</v>
      </c>
      <c r="N128" s="2">
        <f t="shared" si="35"/>
        <v>941.86123882224695</v>
      </c>
      <c r="Q128" s="1">
        <f t="shared" si="53"/>
        <v>127</v>
      </c>
      <c r="R128">
        <f t="shared" si="54"/>
        <v>127000</v>
      </c>
      <c r="S128">
        <f t="shared" si="49"/>
        <v>290</v>
      </c>
      <c r="T128">
        <f t="shared" si="49"/>
        <v>2.5</v>
      </c>
      <c r="U128">
        <f t="shared" si="49"/>
        <v>1.7</v>
      </c>
      <c r="V128">
        <f t="shared" si="49"/>
        <v>47</v>
      </c>
      <c r="W128">
        <f t="shared" si="49"/>
        <v>22</v>
      </c>
      <c r="Y128" s="2">
        <f t="shared" si="55"/>
        <v>1105.7760218861686</v>
      </c>
      <c r="Z128">
        <f t="shared" si="36"/>
        <v>127000</v>
      </c>
      <c r="AA128">
        <f t="shared" si="37"/>
        <v>3300</v>
      </c>
      <c r="AB128" s="3">
        <f t="shared" si="38"/>
        <v>4.1099670149999996</v>
      </c>
      <c r="AC128" s="4">
        <f t="shared" si="39"/>
        <v>41.099670149999994</v>
      </c>
      <c r="AD128" s="2">
        <f t="shared" si="40"/>
        <v>833.62602188616859</v>
      </c>
      <c r="AE128" s="3">
        <f t="shared" si="41"/>
        <v>127</v>
      </c>
    </row>
    <row r="129" spans="1:31" x14ac:dyDescent="0.3">
      <c r="A129">
        <f t="shared" si="50"/>
        <v>128</v>
      </c>
      <c r="B129">
        <f t="shared" si="42"/>
        <v>128000</v>
      </c>
      <c r="C129">
        <f t="shared" si="51"/>
        <v>290</v>
      </c>
      <c r="D129">
        <f t="shared" si="51"/>
        <v>2.5</v>
      </c>
      <c r="E129">
        <f t="shared" si="51"/>
        <v>1.7</v>
      </c>
      <c r="F129">
        <f t="shared" si="51"/>
        <v>48</v>
      </c>
      <c r="G129">
        <f t="shared" si="51"/>
        <v>21</v>
      </c>
      <c r="I129" s="2">
        <f t="shared" si="52"/>
        <v>1218.9641983753083</v>
      </c>
      <c r="J129">
        <f t="shared" si="31"/>
        <v>128000</v>
      </c>
      <c r="K129">
        <f t="shared" si="32"/>
        <v>3300</v>
      </c>
      <c r="L129" s="3">
        <f t="shared" si="33"/>
        <v>4.1423289600000004</v>
      </c>
      <c r="M129" s="3">
        <f t="shared" si="34"/>
        <v>41.423289600000004</v>
      </c>
      <c r="N129" s="2">
        <f t="shared" si="35"/>
        <v>946.81419837530837</v>
      </c>
      <c r="Q129" s="1">
        <f t="shared" si="53"/>
        <v>128</v>
      </c>
      <c r="R129">
        <f t="shared" si="54"/>
        <v>128000</v>
      </c>
      <c r="S129">
        <f t="shared" si="49"/>
        <v>290</v>
      </c>
      <c r="T129">
        <f t="shared" si="49"/>
        <v>2.5</v>
      </c>
      <c r="U129">
        <f t="shared" si="49"/>
        <v>1.7</v>
      </c>
      <c r="V129">
        <f t="shared" si="49"/>
        <v>47</v>
      </c>
      <c r="W129">
        <f t="shared" si="49"/>
        <v>22</v>
      </c>
      <c r="Y129" s="2">
        <f t="shared" si="55"/>
        <v>1109.6615243644751</v>
      </c>
      <c r="Z129">
        <f t="shared" si="36"/>
        <v>128000</v>
      </c>
      <c r="AA129">
        <f t="shared" si="37"/>
        <v>3300</v>
      </c>
      <c r="AB129" s="3">
        <f t="shared" si="38"/>
        <v>4.1423289600000004</v>
      </c>
      <c r="AC129" s="4">
        <f t="shared" si="39"/>
        <v>41.423289600000004</v>
      </c>
      <c r="AD129" s="2">
        <f t="shared" si="40"/>
        <v>837.51152436447512</v>
      </c>
      <c r="AE129" s="3">
        <f t="shared" si="41"/>
        <v>128</v>
      </c>
    </row>
    <row r="130" spans="1:31" x14ac:dyDescent="0.3">
      <c r="A130">
        <f t="shared" si="50"/>
        <v>129</v>
      </c>
      <c r="B130">
        <f t="shared" si="42"/>
        <v>129000</v>
      </c>
      <c r="C130">
        <f t="shared" si="51"/>
        <v>290</v>
      </c>
      <c r="D130">
        <f t="shared" si="51"/>
        <v>2.5</v>
      </c>
      <c r="E130">
        <f t="shared" si="51"/>
        <v>1.7</v>
      </c>
      <c r="F130">
        <f t="shared" si="51"/>
        <v>48</v>
      </c>
      <c r="G130">
        <f t="shared" si="51"/>
        <v>21</v>
      </c>
      <c r="I130" s="2">
        <f t="shared" si="52"/>
        <v>1223.9156252087844</v>
      </c>
      <c r="J130">
        <f t="shared" si="31"/>
        <v>129000</v>
      </c>
      <c r="K130">
        <f t="shared" si="32"/>
        <v>3300</v>
      </c>
      <c r="L130" s="3">
        <f t="shared" si="33"/>
        <v>4.1746909050000003</v>
      </c>
      <c r="M130" s="3">
        <f t="shared" si="34"/>
        <v>41.746909049999999</v>
      </c>
      <c r="N130" s="2">
        <f t="shared" si="35"/>
        <v>951.7656252087844</v>
      </c>
      <c r="Q130" s="1">
        <f t="shared" si="53"/>
        <v>129</v>
      </c>
      <c r="R130">
        <f t="shared" si="54"/>
        <v>129000</v>
      </c>
      <c r="S130">
        <f t="shared" si="49"/>
        <v>290</v>
      </c>
      <c r="T130">
        <f t="shared" si="49"/>
        <v>2.5</v>
      </c>
      <c r="U130">
        <f t="shared" si="49"/>
        <v>1.7</v>
      </c>
      <c r="V130">
        <f t="shared" si="49"/>
        <v>47</v>
      </c>
      <c r="W130">
        <f t="shared" si="49"/>
        <v>22</v>
      </c>
      <c r="Y130" s="2">
        <f t="shared" si="55"/>
        <v>1113.5450048508037</v>
      </c>
      <c r="Z130">
        <f t="shared" si="36"/>
        <v>129000</v>
      </c>
      <c r="AA130">
        <f t="shared" si="37"/>
        <v>3300</v>
      </c>
      <c r="AB130" s="3">
        <f t="shared" si="38"/>
        <v>4.1746909050000003</v>
      </c>
      <c r="AC130" s="4">
        <f t="shared" si="39"/>
        <v>41.746909049999999</v>
      </c>
      <c r="AD130" s="2">
        <f t="shared" si="40"/>
        <v>841.39500485080373</v>
      </c>
      <c r="AE130" s="3">
        <f t="shared" si="41"/>
        <v>129</v>
      </c>
    </row>
    <row r="131" spans="1:31" x14ac:dyDescent="0.3">
      <c r="A131">
        <f t="shared" si="50"/>
        <v>130</v>
      </c>
      <c r="B131">
        <f t="shared" si="42"/>
        <v>130000</v>
      </c>
      <c r="C131">
        <f t="shared" si="51"/>
        <v>290</v>
      </c>
      <c r="D131">
        <f t="shared" si="51"/>
        <v>2.5</v>
      </c>
      <c r="E131">
        <f t="shared" si="51"/>
        <v>1.7</v>
      </c>
      <c r="F131">
        <f t="shared" si="51"/>
        <v>48</v>
      </c>
      <c r="G131">
        <f t="shared" si="51"/>
        <v>21</v>
      </c>
      <c r="I131" s="2">
        <f t="shared" si="52"/>
        <v>1228.8655905988048</v>
      </c>
      <c r="J131">
        <f t="shared" ref="J131:J194" si="56">B131</f>
        <v>130000</v>
      </c>
      <c r="K131">
        <f t="shared" ref="K131:K194" si="57">IF(J131&lt;36,2830,3300)</f>
        <v>3300</v>
      </c>
      <c r="L131" s="3">
        <f t="shared" ref="L131:L194" si="58">9.80665*K131*J131/1000000000</f>
        <v>4.2070528500000002</v>
      </c>
      <c r="M131" s="3">
        <f t="shared" ref="M131:M194" si="59">L131*10</f>
        <v>42.070528500000002</v>
      </c>
      <c r="N131" s="2">
        <f t="shared" ref="N131:N194" si="60">I131-272.15</f>
        <v>956.71559059880485</v>
      </c>
      <c r="Q131" s="1">
        <f t="shared" si="53"/>
        <v>130</v>
      </c>
      <c r="R131">
        <f t="shared" si="54"/>
        <v>130000</v>
      </c>
      <c r="S131">
        <f t="shared" si="49"/>
        <v>290</v>
      </c>
      <c r="T131">
        <f t="shared" si="49"/>
        <v>2.5</v>
      </c>
      <c r="U131">
        <f t="shared" si="49"/>
        <v>1.7</v>
      </c>
      <c r="V131">
        <f t="shared" si="49"/>
        <v>47</v>
      </c>
      <c r="W131">
        <f t="shared" si="49"/>
        <v>22</v>
      </c>
      <c r="Y131" s="2">
        <f t="shared" si="55"/>
        <v>1117.4265531963374</v>
      </c>
      <c r="Z131">
        <f t="shared" ref="Z131:Z174" si="61">R131</f>
        <v>130000</v>
      </c>
      <c r="AA131">
        <f t="shared" ref="AA131:AA194" si="62">IF(Z131&lt;36,2830,3300)</f>
        <v>3300</v>
      </c>
      <c r="AB131" s="3">
        <f t="shared" ref="AB131:AB174" si="63">9.80665*AA131*Z131/1000000000</f>
        <v>4.2070528500000002</v>
      </c>
      <c r="AC131" s="4">
        <f t="shared" ref="AC131:AC174" si="64">AB131*10</f>
        <v>42.070528500000002</v>
      </c>
      <c r="AD131" s="2">
        <f t="shared" ref="AD131:AD194" si="65">Y131-272.15</f>
        <v>845.27655319633743</v>
      </c>
      <c r="AE131" s="3">
        <f t="shared" ref="AE131:AE194" si="66">R131/1000</f>
        <v>130</v>
      </c>
    </row>
    <row r="132" spans="1:31" x14ac:dyDescent="0.3">
      <c r="A132">
        <f t="shared" si="50"/>
        <v>131</v>
      </c>
      <c r="B132">
        <f t="shared" ref="B132:B195" si="67">A132*1000</f>
        <v>131000</v>
      </c>
      <c r="C132">
        <f t="shared" si="51"/>
        <v>290</v>
      </c>
      <c r="D132">
        <f t="shared" si="51"/>
        <v>2.5</v>
      </c>
      <c r="E132">
        <f t="shared" si="51"/>
        <v>1.7</v>
      </c>
      <c r="F132">
        <f t="shared" si="51"/>
        <v>48</v>
      </c>
      <c r="G132">
        <f t="shared" si="51"/>
        <v>21</v>
      </c>
      <c r="I132" s="2">
        <f t="shared" si="52"/>
        <v>1233.8141625069391</v>
      </c>
      <c r="J132">
        <f t="shared" si="56"/>
        <v>131000</v>
      </c>
      <c r="K132">
        <f t="shared" si="57"/>
        <v>3300</v>
      </c>
      <c r="L132" s="3">
        <f t="shared" si="58"/>
        <v>4.2394147950000001</v>
      </c>
      <c r="M132" s="3">
        <f t="shared" si="59"/>
        <v>42.394147950000004</v>
      </c>
      <c r="N132" s="2">
        <f t="shared" si="60"/>
        <v>961.66416250693908</v>
      </c>
      <c r="Q132" s="1">
        <f t="shared" si="53"/>
        <v>131</v>
      </c>
      <c r="R132">
        <f t="shared" si="54"/>
        <v>131000</v>
      </c>
      <c r="S132">
        <f t="shared" ref="S132:W147" si="68">S131</f>
        <v>290</v>
      </c>
      <c r="T132">
        <f t="shared" si="68"/>
        <v>2.5</v>
      </c>
      <c r="U132">
        <f t="shared" si="68"/>
        <v>1.7</v>
      </c>
      <c r="V132">
        <f t="shared" si="68"/>
        <v>47</v>
      </c>
      <c r="W132">
        <f t="shared" si="68"/>
        <v>22</v>
      </c>
      <c r="Y132" s="2">
        <f t="shared" si="55"/>
        <v>1121.3062552595482</v>
      </c>
      <c r="Z132">
        <f t="shared" si="61"/>
        <v>131000</v>
      </c>
      <c r="AA132">
        <f t="shared" si="62"/>
        <v>3300</v>
      </c>
      <c r="AB132" s="3">
        <f t="shared" si="63"/>
        <v>4.2394147950000001</v>
      </c>
      <c r="AC132" s="4">
        <f t="shared" si="64"/>
        <v>42.394147950000004</v>
      </c>
      <c r="AD132" s="2">
        <f t="shared" si="65"/>
        <v>849.15625525954817</v>
      </c>
      <c r="AE132" s="3">
        <f t="shared" si="66"/>
        <v>131</v>
      </c>
    </row>
    <row r="133" spans="1:31" x14ac:dyDescent="0.3">
      <c r="A133">
        <f t="shared" si="50"/>
        <v>132</v>
      </c>
      <c r="B133">
        <f t="shared" si="67"/>
        <v>132000</v>
      </c>
      <c r="C133">
        <f t="shared" ref="C133:G148" si="69">C132</f>
        <v>290</v>
      </c>
      <c r="D133">
        <f t="shared" si="69"/>
        <v>2.5</v>
      </c>
      <c r="E133">
        <f t="shared" si="69"/>
        <v>1.7</v>
      </c>
      <c r="F133">
        <f t="shared" si="69"/>
        <v>48</v>
      </c>
      <c r="G133">
        <f t="shared" si="69"/>
        <v>21</v>
      </c>
      <c r="I133" s="2">
        <f t="shared" si="52"/>
        <v>1238.7614057343396</v>
      </c>
      <c r="J133">
        <f t="shared" si="56"/>
        <v>132000</v>
      </c>
      <c r="K133">
        <f t="shared" si="57"/>
        <v>3300</v>
      </c>
      <c r="L133" s="3">
        <f t="shared" si="58"/>
        <v>4.27177674</v>
      </c>
      <c r="M133" s="3">
        <f t="shared" si="59"/>
        <v>42.7177674</v>
      </c>
      <c r="N133" s="2">
        <f t="shared" si="60"/>
        <v>966.61140573433966</v>
      </c>
      <c r="Q133" s="1">
        <f t="shared" si="53"/>
        <v>132</v>
      </c>
      <c r="R133">
        <f t="shared" si="54"/>
        <v>132000</v>
      </c>
      <c r="S133">
        <f t="shared" si="68"/>
        <v>290</v>
      </c>
      <c r="T133">
        <f t="shared" si="68"/>
        <v>2.5</v>
      </c>
      <c r="U133">
        <f t="shared" si="68"/>
        <v>1.7</v>
      </c>
      <c r="V133">
        <f t="shared" si="68"/>
        <v>47</v>
      </c>
      <c r="W133">
        <f t="shared" si="68"/>
        <v>22</v>
      </c>
      <c r="Y133" s="2">
        <f t="shared" si="55"/>
        <v>1125.1841930836154</v>
      </c>
      <c r="Z133">
        <f t="shared" si="61"/>
        <v>132000</v>
      </c>
      <c r="AA133">
        <f t="shared" si="62"/>
        <v>3300</v>
      </c>
      <c r="AB133" s="3">
        <f t="shared" si="63"/>
        <v>4.27177674</v>
      </c>
      <c r="AC133" s="4">
        <f t="shared" si="64"/>
        <v>42.7177674</v>
      </c>
      <c r="AD133" s="2">
        <f t="shared" si="65"/>
        <v>853.03419308361538</v>
      </c>
      <c r="AE133" s="3">
        <f t="shared" si="66"/>
        <v>132</v>
      </c>
    </row>
    <row r="134" spans="1:31" x14ac:dyDescent="0.3">
      <c r="A134">
        <f t="shared" si="50"/>
        <v>133</v>
      </c>
      <c r="B134">
        <f t="shared" si="67"/>
        <v>133000</v>
      </c>
      <c r="C134">
        <f t="shared" si="69"/>
        <v>290</v>
      </c>
      <c r="D134">
        <f t="shared" si="69"/>
        <v>2.5</v>
      </c>
      <c r="E134">
        <f t="shared" si="69"/>
        <v>1.7</v>
      </c>
      <c r="F134">
        <f t="shared" si="69"/>
        <v>48</v>
      </c>
      <c r="G134">
        <f t="shared" si="69"/>
        <v>21</v>
      </c>
      <c r="I134" s="2">
        <f t="shared" si="52"/>
        <v>1243.7073820687053</v>
      </c>
      <c r="J134">
        <f t="shared" si="56"/>
        <v>133000</v>
      </c>
      <c r="K134">
        <f t="shared" si="57"/>
        <v>3300</v>
      </c>
      <c r="L134" s="3">
        <f t="shared" si="58"/>
        <v>4.3041386849999999</v>
      </c>
      <c r="M134" s="3">
        <f t="shared" si="59"/>
        <v>43.041386849999995</v>
      </c>
      <c r="N134" s="2">
        <f t="shared" si="60"/>
        <v>971.55738206870535</v>
      </c>
      <c r="Q134" s="1">
        <f t="shared" si="53"/>
        <v>133</v>
      </c>
      <c r="R134">
        <f t="shared" si="54"/>
        <v>133000</v>
      </c>
      <c r="S134">
        <f t="shared" si="68"/>
        <v>290</v>
      </c>
      <c r="T134">
        <f t="shared" si="68"/>
        <v>2.5</v>
      </c>
      <c r="U134">
        <f t="shared" si="68"/>
        <v>1.7</v>
      </c>
      <c r="V134">
        <f t="shared" si="68"/>
        <v>47</v>
      </c>
      <c r="W134">
        <f t="shared" si="68"/>
        <v>22</v>
      </c>
      <c r="Y134" s="2">
        <f t="shared" si="55"/>
        <v>1129.060445065971</v>
      </c>
      <c r="Z134">
        <f t="shared" si="61"/>
        <v>133000</v>
      </c>
      <c r="AA134">
        <f t="shared" si="62"/>
        <v>3300</v>
      </c>
      <c r="AB134" s="3">
        <f t="shared" si="63"/>
        <v>4.3041386849999999</v>
      </c>
      <c r="AC134" s="4">
        <f t="shared" si="64"/>
        <v>43.041386849999995</v>
      </c>
      <c r="AD134" s="2">
        <f t="shared" si="65"/>
        <v>856.91044506597098</v>
      </c>
      <c r="AE134" s="3">
        <f t="shared" si="66"/>
        <v>133</v>
      </c>
    </row>
    <row r="135" spans="1:31" x14ac:dyDescent="0.3">
      <c r="A135">
        <f t="shared" si="50"/>
        <v>134</v>
      </c>
      <c r="B135">
        <f t="shared" si="67"/>
        <v>134000</v>
      </c>
      <c r="C135">
        <f t="shared" si="69"/>
        <v>290</v>
      </c>
      <c r="D135">
        <f t="shared" si="69"/>
        <v>2.5</v>
      </c>
      <c r="E135">
        <f t="shared" si="69"/>
        <v>1.7</v>
      </c>
      <c r="F135">
        <f t="shared" si="69"/>
        <v>48</v>
      </c>
      <c r="G135">
        <f t="shared" si="69"/>
        <v>21</v>
      </c>
      <c r="I135" s="2">
        <f t="shared" si="52"/>
        <v>1248.6521504244201</v>
      </c>
      <c r="J135">
        <f t="shared" si="56"/>
        <v>134000</v>
      </c>
      <c r="K135">
        <f t="shared" si="57"/>
        <v>3300</v>
      </c>
      <c r="L135" s="3">
        <f t="shared" si="58"/>
        <v>4.3365006299999997</v>
      </c>
      <c r="M135" s="3">
        <f t="shared" si="59"/>
        <v>43.365006299999997</v>
      </c>
      <c r="N135" s="2">
        <f t="shared" si="60"/>
        <v>976.50215042442017</v>
      </c>
      <c r="Q135" s="1">
        <f t="shared" si="53"/>
        <v>134</v>
      </c>
      <c r="R135">
        <f t="shared" si="54"/>
        <v>134000</v>
      </c>
      <c r="S135">
        <f t="shared" si="68"/>
        <v>290</v>
      </c>
      <c r="T135">
        <f t="shared" si="68"/>
        <v>2.5</v>
      </c>
      <c r="U135">
        <f t="shared" si="68"/>
        <v>1.7</v>
      </c>
      <c r="V135">
        <f t="shared" si="68"/>
        <v>47</v>
      </c>
      <c r="W135">
        <f t="shared" si="68"/>
        <v>22</v>
      </c>
      <c r="Y135" s="2">
        <f t="shared" si="55"/>
        <v>1132.9350861203015</v>
      </c>
      <c r="Z135">
        <f t="shared" si="61"/>
        <v>134000</v>
      </c>
      <c r="AA135">
        <f t="shared" si="62"/>
        <v>3300</v>
      </c>
      <c r="AB135" s="3">
        <f t="shared" si="63"/>
        <v>4.3365006299999997</v>
      </c>
      <c r="AC135" s="4">
        <f t="shared" si="64"/>
        <v>43.365006299999997</v>
      </c>
      <c r="AD135" s="2">
        <f t="shared" si="65"/>
        <v>860.78508612030157</v>
      </c>
      <c r="AE135" s="3">
        <f t="shared" si="66"/>
        <v>134</v>
      </c>
    </row>
    <row r="136" spans="1:31" x14ac:dyDescent="0.3">
      <c r="A136">
        <f t="shared" si="50"/>
        <v>135</v>
      </c>
      <c r="B136">
        <f t="shared" si="67"/>
        <v>135000</v>
      </c>
      <c r="C136">
        <f t="shared" si="69"/>
        <v>290</v>
      </c>
      <c r="D136">
        <f t="shared" si="69"/>
        <v>2.5</v>
      </c>
      <c r="E136">
        <f t="shared" si="69"/>
        <v>1.7</v>
      </c>
      <c r="F136">
        <f t="shared" si="69"/>
        <v>48</v>
      </c>
      <c r="G136">
        <f t="shared" si="69"/>
        <v>21</v>
      </c>
      <c r="I136" s="2">
        <f t="shared" si="52"/>
        <v>1253.5957669761717</v>
      </c>
      <c r="J136">
        <f t="shared" si="56"/>
        <v>135000</v>
      </c>
      <c r="K136">
        <f t="shared" si="57"/>
        <v>3300</v>
      </c>
      <c r="L136" s="3">
        <f t="shared" si="58"/>
        <v>4.3688625749999996</v>
      </c>
      <c r="M136" s="3">
        <f t="shared" si="59"/>
        <v>43.68862575</v>
      </c>
      <c r="N136" s="2">
        <f t="shared" si="60"/>
        <v>981.44576697617174</v>
      </c>
      <c r="Q136" s="1">
        <f t="shared" si="53"/>
        <v>135</v>
      </c>
      <c r="R136">
        <f t="shared" si="54"/>
        <v>135000</v>
      </c>
      <c r="S136">
        <f t="shared" si="68"/>
        <v>290</v>
      </c>
      <c r="T136">
        <f t="shared" si="68"/>
        <v>2.5</v>
      </c>
      <c r="U136">
        <f t="shared" si="68"/>
        <v>1.7</v>
      </c>
      <c r="V136">
        <f t="shared" si="68"/>
        <v>47</v>
      </c>
      <c r="W136">
        <f t="shared" si="68"/>
        <v>22</v>
      </c>
      <c r="Y136" s="2">
        <f t="shared" si="55"/>
        <v>1136.8081878313567</v>
      </c>
      <c r="Z136">
        <f t="shared" si="61"/>
        <v>135000</v>
      </c>
      <c r="AA136">
        <f t="shared" si="62"/>
        <v>3300</v>
      </c>
      <c r="AB136" s="3">
        <f t="shared" si="63"/>
        <v>4.3688625749999996</v>
      </c>
      <c r="AC136" s="4">
        <f t="shared" si="64"/>
        <v>43.68862575</v>
      </c>
      <c r="AD136" s="2">
        <f t="shared" si="65"/>
        <v>864.65818783135671</v>
      </c>
      <c r="AE136" s="3">
        <f t="shared" si="66"/>
        <v>135</v>
      </c>
    </row>
    <row r="137" spans="1:31" x14ac:dyDescent="0.3">
      <c r="A137">
        <f t="shared" si="50"/>
        <v>136</v>
      </c>
      <c r="B137">
        <f t="shared" si="67"/>
        <v>136000</v>
      </c>
      <c r="C137">
        <f t="shared" si="69"/>
        <v>290</v>
      </c>
      <c r="D137">
        <f t="shared" si="69"/>
        <v>2.5</v>
      </c>
      <c r="E137">
        <f t="shared" si="69"/>
        <v>1.7</v>
      </c>
      <c r="F137">
        <f t="shared" si="69"/>
        <v>48</v>
      </c>
      <c r="G137">
        <f t="shared" si="69"/>
        <v>21</v>
      </c>
      <c r="I137" s="2">
        <f t="shared" si="52"/>
        <v>1258.5382852863497</v>
      </c>
      <c r="J137">
        <f t="shared" si="56"/>
        <v>136000</v>
      </c>
      <c r="K137">
        <f t="shared" si="57"/>
        <v>3300</v>
      </c>
      <c r="L137" s="3">
        <f t="shared" si="58"/>
        <v>4.4012245200000004</v>
      </c>
      <c r="M137" s="3">
        <f t="shared" si="59"/>
        <v>44.012245200000002</v>
      </c>
      <c r="N137" s="2">
        <f t="shared" si="60"/>
        <v>986.38828528634974</v>
      </c>
      <c r="Q137" s="1">
        <f t="shared" si="53"/>
        <v>136</v>
      </c>
      <c r="R137">
        <f t="shared" si="54"/>
        <v>136000</v>
      </c>
      <c r="S137">
        <f t="shared" si="68"/>
        <v>290</v>
      </c>
      <c r="T137">
        <f t="shared" si="68"/>
        <v>2.5</v>
      </c>
      <c r="U137">
        <f t="shared" si="68"/>
        <v>1.7</v>
      </c>
      <c r="V137">
        <f t="shared" si="68"/>
        <v>47</v>
      </c>
      <c r="W137">
        <f t="shared" si="68"/>
        <v>22</v>
      </c>
      <c r="Y137" s="2">
        <f t="shared" si="55"/>
        <v>1140.6798186028789</v>
      </c>
      <c r="Z137">
        <f t="shared" si="61"/>
        <v>136000</v>
      </c>
      <c r="AA137">
        <f t="shared" si="62"/>
        <v>3300</v>
      </c>
      <c r="AB137" s="3">
        <f t="shared" si="63"/>
        <v>4.4012245200000004</v>
      </c>
      <c r="AC137" s="4">
        <f t="shared" si="64"/>
        <v>44.012245200000002</v>
      </c>
      <c r="AD137" s="2">
        <f t="shared" si="65"/>
        <v>868.52981860287889</v>
      </c>
      <c r="AE137" s="3">
        <f t="shared" si="66"/>
        <v>136</v>
      </c>
    </row>
    <row r="138" spans="1:31" x14ac:dyDescent="0.3">
      <c r="A138">
        <f t="shared" si="50"/>
        <v>137</v>
      </c>
      <c r="B138">
        <f t="shared" si="67"/>
        <v>137000</v>
      </c>
      <c r="C138">
        <f t="shared" si="69"/>
        <v>290</v>
      </c>
      <c r="D138">
        <f t="shared" si="69"/>
        <v>2.5</v>
      </c>
      <c r="E138">
        <f t="shared" si="69"/>
        <v>1.7</v>
      </c>
      <c r="F138">
        <f t="shared" si="69"/>
        <v>48</v>
      </c>
      <c r="G138">
        <f t="shared" si="69"/>
        <v>21</v>
      </c>
      <c r="I138" s="2">
        <f t="shared" si="52"/>
        <v>1263.479756426533</v>
      </c>
      <c r="J138">
        <f t="shared" si="56"/>
        <v>137000</v>
      </c>
      <c r="K138">
        <f t="shared" si="57"/>
        <v>3300</v>
      </c>
      <c r="L138" s="3">
        <f t="shared" si="58"/>
        <v>4.4335864650000003</v>
      </c>
      <c r="M138" s="3">
        <f t="shared" si="59"/>
        <v>44.335864650000005</v>
      </c>
      <c r="N138" s="2">
        <f t="shared" si="60"/>
        <v>991.32975642653298</v>
      </c>
      <c r="Q138" s="1">
        <f t="shared" si="53"/>
        <v>137</v>
      </c>
      <c r="R138">
        <f t="shared" si="54"/>
        <v>137000</v>
      </c>
      <c r="S138">
        <f t="shared" si="68"/>
        <v>290</v>
      </c>
      <c r="T138">
        <f t="shared" si="68"/>
        <v>2.5</v>
      </c>
      <c r="U138">
        <f t="shared" si="68"/>
        <v>1.7</v>
      </c>
      <c r="V138">
        <f t="shared" si="68"/>
        <v>47</v>
      </c>
      <c r="W138">
        <f t="shared" si="68"/>
        <v>22</v>
      </c>
      <c r="Y138" s="2">
        <f t="shared" si="55"/>
        <v>1144.5500437989531</v>
      </c>
      <c r="Z138">
        <f t="shared" si="61"/>
        <v>137000</v>
      </c>
      <c r="AA138">
        <f t="shared" si="62"/>
        <v>3300</v>
      </c>
      <c r="AB138" s="3">
        <f t="shared" si="63"/>
        <v>4.4335864650000003</v>
      </c>
      <c r="AC138" s="4">
        <f t="shared" si="64"/>
        <v>44.335864650000005</v>
      </c>
      <c r="AD138" s="2">
        <f t="shared" si="65"/>
        <v>872.40004379895311</v>
      </c>
      <c r="AE138" s="3">
        <f t="shared" si="66"/>
        <v>137</v>
      </c>
    </row>
    <row r="139" spans="1:31" x14ac:dyDescent="0.3">
      <c r="A139">
        <f t="shared" si="50"/>
        <v>138</v>
      </c>
      <c r="B139">
        <f t="shared" si="67"/>
        <v>138000</v>
      </c>
      <c r="C139">
        <f t="shared" si="69"/>
        <v>290</v>
      </c>
      <c r="D139">
        <f t="shared" si="69"/>
        <v>2.5</v>
      </c>
      <c r="E139">
        <f t="shared" si="69"/>
        <v>1.7</v>
      </c>
      <c r="F139">
        <f t="shared" si="69"/>
        <v>48</v>
      </c>
      <c r="G139">
        <f t="shared" si="69"/>
        <v>21</v>
      </c>
      <c r="I139" s="2">
        <f t="shared" si="52"/>
        <v>1268.420229093314</v>
      </c>
      <c r="J139">
        <f t="shared" si="56"/>
        <v>138000</v>
      </c>
      <c r="K139">
        <f t="shared" si="57"/>
        <v>3300</v>
      </c>
      <c r="L139" s="3">
        <f t="shared" si="58"/>
        <v>4.4659484100000002</v>
      </c>
      <c r="M139" s="3">
        <f t="shared" si="59"/>
        <v>44.6594841</v>
      </c>
      <c r="N139" s="2">
        <f t="shared" si="60"/>
        <v>996.27022909331401</v>
      </c>
      <c r="Q139" s="1">
        <f t="shared" si="53"/>
        <v>138</v>
      </c>
      <c r="R139">
        <f t="shared" si="54"/>
        <v>138000</v>
      </c>
      <c r="S139">
        <f t="shared" si="68"/>
        <v>290</v>
      </c>
      <c r="T139">
        <f t="shared" si="68"/>
        <v>2.5</v>
      </c>
      <c r="U139">
        <f t="shared" si="68"/>
        <v>1.7</v>
      </c>
      <c r="V139">
        <f t="shared" si="68"/>
        <v>47</v>
      </c>
      <c r="W139">
        <f t="shared" si="68"/>
        <v>22</v>
      </c>
      <c r="Y139" s="2">
        <f t="shared" si="55"/>
        <v>1148.4189258790868</v>
      </c>
      <c r="Z139">
        <f t="shared" si="61"/>
        <v>138000</v>
      </c>
      <c r="AA139">
        <f t="shared" si="62"/>
        <v>3300</v>
      </c>
      <c r="AB139" s="3">
        <f t="shared" si="63"/>
        <v>4.4659484100000002</v>
      </c>
      <c r="AC139" s="4">
        <f t="shared" si="64"/>
        <v>44.6594841</v>
      </c>
      <c r="AD139" s="2">
        <f t="shared" si="65"/>
        <v>876.26892587908685</v>
      </c>
      <c r="AE139" s="3">
        <f t="shared" si="66"/>
        <v>138</v>
      </c>
    </row>
    <row r="140" spans="1:31" x14ac:dyDescent="0.3">
      <c r="A140">
        <f t="shared" si="50"/>
        <v>139</v>
      </c>
      <c r="B140">
        <f t="shared" si="67"/>
        <v>139000</v>
      </c>
      <c r="C140">
        <f t="shared" si="69"/>
        <v>290</v>
      </c>
      <c r="D140">
        <f t="shared" si="69"/>
        <v>2.5</v>
      </c>
      <c r="E140">
        <f t="shared" si="69"/>
        <v>1.7</v>
      </c>
      <c r="F140">
        <f t="shared" si="69"/>
        <v>48</v>
      </c>
      <c r="G140">
        <f t="shared" si="69"/>
        <v>21</v>
      </c>
      <c r="I140" s="2">
        <f t="shared" si="52"/>
        <v>1273.359749718747</v>
      </c>
      <c r="J140">
        <f t="shared" si="56"/>
        <v>139000</v>
      </c>
      <c r="K140">
        <f t="shared" si="57"/>
        <v>3300</v>
      </c>
      <c r="L140" s="3">
        <f t="shared" si="58"/>
        <v>4.4983103550000001</v>
      </c>
      <c r="M140" s="3">
        <f t="shared" si="59"/>
        <v>44.983103550000003</v>
      </c>
      <c r="N140" s="2">
        <f t="shared" si="60"/>
        <v>1001.209749718747</v>
      </c>
      <c r="Q140" s="1">
        <f t="shared" si="53"/>
        <v>139</v>
      </c>
      <c r="R140">
        <f t="shared" si="54"/>
        <v>139000</v>
      </c>
      <c r="S140">
        <f t="shared" si="68"/>
        <v>290</v>
      </c>
      <c r="T140">
        <f t="shared" si="68"/>
        <v>2.5</v>
      </c>
      <c r="U140">
        <f t="shared" si="68"/>
        <v>1.7</v>
      </c>
      <c r="V140">
        <f t="shared" si="68"/>
        <v>47</v>
      </c>
      <c r="W140">
        <f t="shared" si="68"/>
        <v>22</v>
      </c>
      <c r="Y140" s="2">
        <f t="shared" si="55"/>
        <v>1152.2865245272726</v>
      </c>
      <c r="Z140">
        <f t="shared" si="61"/>
        <v>139000</v>
      </c>
      <c r="AA140">
        <f t="shared" si="62"/>
        <v>3300</v>
      </c>
      <c r="AB140" s="3">
        <f t="shared" si="63"/>
        <v>4.4983103550000001</v>
      </c>
      <c r="AC140" s="5">
        <f t="shared" si="64"/>
        <v>44.983103550000003</v>
      </c>
      <c r="AD140" s="2">
        <f t="shared" si="65"/>
        <v>880.13652452727263</v>
      </c>
      <c r="AE140" s="3">
        <f t="shared" si="66"/>
        <v>139</v>
      </c>
    </row>
    <row r="141" spans="1:31" x14ac:dyDescent="0.3">
      <c r="A141">
        <f t="shared" si="50"/>
        <v>140</v>
      </c>
      <c r="B141">
        <f t="shared" si="67"/>
        <v>140000</v>
      </c>
      <c r="C141">
        <f t="shared" si="69"/>
        <v>290</v>
      </c>
      <c r="D141">
        <f t="shared" si="69"/>
        <v>2.5</v>
      </c>
      <c r="E141">
        <f t="shared" si="69"/>
        <v>1.7</v>
      </c>
      <c r="F141">
        <f t="shared" si="69"/>
        <v>48</v>
      </c>
      <c r="G141">
        <f t="shared" si="69"/>
        <v>21</v>
      </c>
      <c r="I141" s="2">
        <f t="shared" si="52"/>
        <v>1278.2983625756542</v>
      </c>
      <c r="J141">
        <f t="shared" si="56"/>
        <v>140000</v>
      </c>
      <c r="K141">
        <f t="shared" si="57"/>
        <v>3300</v>
      </c>
      <c r="L141" s="3">
        <f t="shared" si="58"/>
        <v>4.5306723</v>
      </c>
      <c r="M141" s="3">
        <f t="shared" si="59"/>
        <v>45.306722999999998</v>
      </c>
      <c r="N141" s="2">
        <f t="shared" si="60"/>
        <v>1006.1483625756542</v>
      </c>
      <c r="Q141" s="1">
        <f t="shared" si="53"/>
        <v>140</v>
      </c>
      <c r="R141">
        <f t="shared" si="54"/>
        <v>140000</v>
      </c>
      <c r="S141">
        <f t="shared" si="68"/>
        <v>290</v>
      </c>
      <c r="T141">
        <f t="shared" si="68"/>
        <v>2.5</v>
      </c>
      <c r="U141">
        <f t="shared" si="68"/>
        <v>1.7</v>
      </c>
      <c r="V141">
        <f t="shared" si="68"/>
        <v>47</v>
      </c>
      <c r="W141">
        <f t="shared" si="68"/>
        <v>22</v>
      </c>
      <c r="Y141" s="2">
        <f t="shared" si="55"/>
        <v>1156.1528967753295</v>
      </c>
      <c r="Z141">
        <f t="shared" si="61"/>
        <v>140000</v>
      </c>
      <c r="AA141">
        <f t="shared" si="62"/>
        <v>3300</v>
      </c>
      <c r="AB141" s="3">
        <f t="shared" si="63"/>
        <v>4.5306723</v>
      </c>
      <c r="AC141" s="4">
        <f t="shared" si="64"/>
        <v>45.306722999999998</v>
      </c>
      <c r="AD141" s="2">
        <f t="shared" si="65"/>
        <v>884.00289677532953</v>
      </c>
      <c r="AE141" s="3">
        <f t="shared" si="66"/>
        <v>140</v>
      </c>
    </row>
    <row r="142" spans="1:31" x14ac:dyDescent="0.3">
      <c r="A142">
        <f t="shared" si="50"/>
        <v>141</v>
      </c>
      <c r="B142">
        <f t="shared" si="67"/>
        <v>141000</v>
      </c>
      <c r="C142">
        <f t="shared" si="69"/>
        <v>290</v>
      </c>
      <c r="D142">
        <f t="shared" si="69"/>
        <v>2.5</v>
      </c>
      <c r="E142">
        <f t="shared" si="69"/>
        <v>1.7</v>
      </c>
      <c r="F142">
        <f t="shared" si="69"/>
        <v>48</v>
      </c>
      <c r="G142">
        <f t="shared" si="69"/>
        <v>21</v>
      </c>
      <c r="I142" s="2">
        <f t="shared" si="52"/>
        <v>1283.2361098780357</v>
      </c>
      <c r="J142">
        <f t="shared" si="56"/>
        <v>141000</v>
      </c>
      <c r="K142">
        <f t="shared" si="57"/>
        <v>3300</v>
      </c>
      <c r="L142" s="3">
        <f t="shared" si="58"/>
        <v>4.5630342449999999</v>
      </c>
      <c r="M142" s="3">
        <f t="shared" si="59"/>
        <v>45.630342450000001</v>
      </c>
      <c r="N142" s="2">
        <f t="shared" si="60"/>
        <v>1011.0861098780357</v>
      </c>
      <c r="Q142" s="1">
        <f t="shared" si="53"/>
        <v>141</v>
      </c>
      <c r="R142">
        <f t="shared" si="54"/>
        <v>141000</v>
      </c>
      <c r="S142">
        <f t="shared" si="68"/>
        <v>290</v>
      </c>
      <c r="T142">
        <f t="shared" si="68"/>
        <v>2.5</v>
      </c>
      <c r="U142">
        <f t="shared" si="68"/>
        <v>1.7</v>
      </c>
      <c r="V142">
        <f t="shared" si="68"/>
        <v>47</v>
      </c>
      <c r="W142">
        <f t="shared" si="68"/>
        <v>22</v>
      </c>
      <c r="Y142" s="2">
        <f t="shared" si="55"/>
        <v>1160.0180971207565</v>
      </c>
      <c r="Z142">
        <f t="shared" si="61"/>
        <v>141000</v>
      </c>
      <c r="AA142">
        <f t="shared" si="62"/>
        <v>3300</v>
      </c>
      <c r="AB142" s="3">
        <f t="shared" si="63"/>
        <v>4.5630342449999999</v>
      </c>
      <c r="AC142" s="4">
        <f t="shared" si="64"/>
        <v>45.630342450000001</v>
      </c>
      <c r="AD142" s="2">
        <f t="shared" si="65"/>
        <v>887.86809712075649</v>
      </c>
      <c r="AE142" s="3">
        <f t="shared" si="66"/>
        <v>141</v>
      </c>
    </row>
    <row r="143" spans="1:31" x14ac:dyDescent="0.3">
      <c r="A143">
        <f t="shared" si="50"/>
        <v>142</v>
      </c>
      <c r="B143">
        <f t="shared" si="67"/>
        <v>142000</v>
      </c>
      <c r="C143">
        <f t="shared" si="69"/>
        <v>290</v>
      </c>
      <c r="D143">
        <f t="shared" si="69"/>
        <v>2.5</v>
      </c>
      <c r="E143">
        <f t="shared" si="69"/>
        <v>1.7</v>
      </c>
      <c r="F143">
        <f t="shared" si="69"/>
        <v>48</v>
      </c>
      <c r="G143">
        <f t="shared" si="69"/>
        <v>21</v>
      </c>
      <c r="I143" s="2">
        <f t="shared" si="52"/>
        <v>1288.1730318768134</v>
      </c>
      <c r="J143">
        <f t="shared" si="56"/>
        <v>142000</v>
      </c>
      <c r="K143">
        <f t="shared" si="57"/>
        <v>3300</v>
      </c>
      <c r="L143" s="3">
        <f t="shared" si="58"/>
        <v>4.5953961899999998</v>
      </c>
      <c r="M143" s="3">
        <f t="shared" si="59"/>
        <v>45.953961899999996</v>
      </c>
      <c r="N143" s="2">
        <f t="shared" si="60"/>
        <v>1016.0230318768134</v>
      </c>
      <c r="Q143" s="1">
        <f t="shared" si="53"/>
        <v>142</v>
      </c>
      <c r="R143">
        <f t="shared" si="54"/>
        <v>142000</v>
      </c>
      <c r="S143">
        <f t="shared" si="68"/>
        <v>290</v>
      </c>
      <c r="T143">
        <f t="shared" si="68"/>
        <v>2.5</v>
      </c>
      <c r="U143">
        <f t="shared" si="68"/>
        <v>1.7</v>
      </c>
      <c r="V143">
        <f t="shared" si="68"/>
        <v>47</v>
      </c>
      <c r="W143">
        <f t="shared" si="68"/>
        <v>22</v>
      </c>
      <c r="Y143" s="2">
        <f t="shared" si="55"/>
        <v>1163.8821776393474</v>
      </c>
      <c r="Z143">
        <f t="shared" si="61"/>
        <v>142000</v>
      </c>
      <c r="AA143">
        <f t="shared" si="62"/>
        <v>3300</v>
      </c>
      <c r="AB143" s="3">
        <f t="shared" si="63"/>
        <v>4.5953961899999998</v>
      </c>
      <c r="AC143" s="4">
        <f t="shared" si="64"/>
        <v>45.953961899999996</v>
      </c>
      <c r="AD143" s="2">
        <f t="shared" si="65"/>
        <v>891.73217763934747</v>
      </c>
      <c r="AE143" s="3">
        <f t="shared" si="66"/>
        <v>142</v>
      </c>
    </row>
    <row r="144" spans="1:31" x14ac:dyDescent="0.3">
      <c r="A144">
        <f t="shared" si="50"/>
        <v>143</v>
      </c>
      <c r="B144">
        <f t="shared" si="67"/>
        <v>143000</v>
      </c>
      <c r="C144">
        <f t="shared" si="69"/>
        <v>290</v>
      </c>
      <c r="D144">
        <f t="shared" si="69"/>
        <v>2.5</v>
      </c>
      <c r="E144">
        <f t="shared" si="69"/>
        <v>1.7</v>
      </c>
      <c r="F144">
        <f t="shared" si="69"/>
        <v>48</v>
      </c>
      <c r="G144">
        <f t="shared" si="69"/>
        <v>21</v>
      </c>
      <c r="I144" s="2">
        <f t="shared" si="52"/>
        <v>1293.109166951117</v>
      </c>
      <c r="J144">
        <f t="shared" si="56"/>
        <v>143000</v>
      </c>
      <c r="K144">
        <f t="shared" si="57"/>
        <v>3300</v>
      </c>
      <c r="L144" s="3">
        <f t="shared" si="58"/>
        <v>4.6277581349999997</v>
      </c>
      <c r="M144" s="3">
        <f t="shared" si="59"/>
        <v>46.277581349999998</v>
      </c>
      <c r="N144" s="2">
        <f t="shared" si="60"/>
        <v>1020.959166951117</v>
      </c>
      <c r="Q144" s="1">
        <f t="shared" si="53"/>
        <v>143</v>
      </c>
      <c r="R144">
        <f t="shared" si="54"/>
        <v>143000</v>
      </c>
      <c r="S144">
        <f t="shared" si="68"/>
        <v>290</v>
      </c>
      <c r="T144">
        <f t="shared" si="68"/>
        <v>2.5</v>
      </c>
      <c r="U144">
        <f t="shared" si="68"/>
        <v>1.7</v>
      </c>
      <c r="V144">
        <f t="shared" si="68"/>
        <v>47</v>
      </c>
      <c r="W144">
        <f t="shared" si="68"/>
        <v>22</v>
      </c>
      <c r="Y144" s="2">
        <f t="shared" si="55"/>
        <v>1167.7451880928072</v>
      </c>
      <c r="Z144">
        <f t="shared" si="61"/>
        <v>143000</v>
      </c>
      <c r="AA144">
        <f t="shared" si="62"/>
        <v>3300</v>
      </c>
      <c r="AB144" s="3">
        <f t="shared" si="63"/>
        <v>4.6277581349999997</v>
      </c>
      <c r="AC144" s="4">
        <f t="shared" si="64"/>
        <v>46.277581349999998</v>
      </c>
      <c r="AD144" s="2">
        <f t="shared" si="65"/>
        <v>895.59518809280723</v>
      </c>
      <c r="AE144" s="3">
        <f t="shared" si="66"/>
        <v>143</v>
      </c>
    </row>
    <row r="145" spans="1:31" x14ac:dyDescent="0.3">
      <c r="A145">
        <f t="shared" si="50"/>
        <v>144</v>
      </c>
      <c r="B145">
        <f t="shared" si="67"/>
        <v>144000</v>
      </c>
      <c r="C145">
        <f t="shared" si="69"/>
        <v>290</v>
      </c>
      <c r="D145">
        <f t="shared" si="69"/>
        <v>2.5</v>
      </c>
      <c r="E145">
        <f t="shared" si="69"/>
        <v>1.7</v>
      </c>
      <c r="F145">
        <f t="shared" si="69"/>
        <v>48</v>
      </c>
      <c r="G145">
        <f t="shared" si="69"/>
        <v>21</v>
      </c>
      <c r="I145" s="2">
        <f t="shared" si="52"/>
        <v>1298.0445516953318</v>
      </c>
      <c r="J145">
        <f t="shared" si="56"/>
        <v>144000</v>
      </c>
      <c r="K145">
        <f t="shared" si="57"/>
        <v>3300</v>
      </c>
      <c r="L145" s="3">
        <f t="shared" si="58"/>
        <v>4.6601200800000004</v>
      </c>
      <c r="M145" s="3">
        <f t="shared" si="59"/>
        <v>46.601200800000001</v>
      </c>
      <c r="N145" s="2">
        <f t="shared" si="60"/>
        <v>1025.8945516953318</v>
      </c>
      <c r="Q145" s="1">
        <f t="shared" si="53"/>
        <v>144</v>
      </c>
      <c r="R145">
        <f t="shared" si="54"/>
        <v>144000</v>
      </c>
      <c r="S145">
        <f t="shared" si="68"/>
        <v>290</v>
      </c>
      <c r="T145">
        <f t="shared" si="68"/>
        <v>2.5</v>
      </c>
      <c r="U145">
        <f t="shared" si="68"/>
        <v>1.7</v>
      </c>
      <c r="V145">
        <f t="shared" si="68"/>
        <v>47</v>
      </c>
      <c r="W145">
        <f t="shared" si="68"/>
        <v>22</v>
      </c>
      <c r="Y145" s="2">
        <f t="shared" si="55"/>
        <v>1171.6071760315815</v>
      </c>
      <c r="Z145">
        <f t="shared" si="61"/>
        <v>144000</v>
      </c>
      <c r="AA145">
        <f t="shared" si="62"/>
        <v>3300</v>
      </c>
      <c r="AB145" s="3">
        <f t="shared" si="63"/>
        <v>4.6601200800000004</v>
      </c>
      <c r="AC145" s="4">
        <f t="shared" si="64"/>
        <v>46.601200800000001</v>
      </c>
      <c r="AD145" s="2">
        <f t="shared" si="65"/>
        <v>899.45717603158153</v>
      </c>
      <c r="AE145" s="3">
        <f t="shared" si="66"/>
        <v>144</v>
      </c>
    </row>
    <row r="146" spans="1:31" x14ac:dyDescent="0.3">
      <c r="A146">
        <f t="shared" si="50"/>
        <v>145</v>
      </c>
      <c r="B146">
        <f t="shared" si="67"/>
        <v>145000</v>
      </c>
      <c r="C146">
        <f t="shared" si="69"/>
        <v>290</v>
      </c>
      <c r="D146">
        <f t="shared" si="69"/>
        <v>2.5</v>
      </c>
      <c r="E146">
        <f t="shared" si="69"/>
        <v>1.7</v>
      </c>
      <c r="F146">
        <f t="shared" si="69"/>
        <v>48</v>
      </c>
      <c r="G146">
        <f t="shared" si="69"/>
        <v>21</v>
      </c>
      <c r="I146" s="2">
        <f t="shared" si="52"/>
        <v>1302.9792210020914</v>
      </c>
      <c r="J146">
        <f t="shared" si="56"/>
        <v>145000</v>
      </c>
      <c r="K146">
        <f t="shared" si="57"/>
        <v>3300</v>
      </c>
      <c r="L146" s="3">
        <f t="shared" si="58"/>
        <v>4.6924820250000003</v>
      </c>
      <c r="M146" s="3">
        <f t="shared" si="59"/>
        <v>46.924820250000003</v>
      </c>
      <c r="N146" s="2">
        <f t="shared" si="60"/>
        <v>1030.8292210020913</v>
      </c>
      <c r="Q146" s="1">
        <f t="shared" si="53"/>
        <v>145</v>
      </c>
      <c r="R146">
        <f t="shared" si="54"/>
        <v>145000</v>
      </c>
      <c r="S146">
        <f t="shared" si="68"/>
        <v>290</v>
      </c>
      <c r="T146">
        <f t="shared" si="68"/>
        <v>2.5</v>
      </c>
      <c r="U146">
        <f t="shared" si="68"/>
        <v>1.7</v>
      </c>
      <c r="V146">
        <f t="shared" si="68"/>
        <v>47</v>
      </c>
      <c r="W146">
        <f t="shared" si="68"/>
        <v>22</v>
      </c>
      <c r="Y146" s="2">
        <f t="shared" si="55"/>
        <v>1175.4681868931173</v>
      </c>
      <c r="Z146">
        <f t="shared" si="61"/>
        <v>145000</v>
      </c>
      <c r="AA146">
        <f t="shared" si="62"/>
        <v>3300</v>
      </c>
      <c r="AB146" s="3">
        <f t="shared" si="63"/>
        <v>4.6924820250000003</v>
      </c>
      <c r="AC146" s="4">
        <f t="shared" si="64"/>
        <v>46.924820250000003</v>
      </c>
      <c r="AD146" s="2">
        <f t="shared" si="65"/>
        <v>903.31818689311729</v>
      </c>
      <c r="AE146" s="3">
        <f t="shared" si="66"/>
        <v>145</v>
      </c>
    </row>
    <row r="147" spans="1:31" x14ac:dyDescent="0.3">
      <c r="A147">
        <f t="shared" si="50"/>
        <v>146</v>
      </c>
      <c r="B147">
        <f t="shared" si="67"/>
        <v>146000</v>
      </c>
      <c r="C147">
        <f t="shared" si="69"/>
        <v>290</v>
      </c>
      <c r="D147">
        <f t="shared" si="69"/>
        <v>2.5</v>
      </c>
      <c r="E147">
        <f t="shared" si="69"/>
        <v>1.7</v>
      </c>
      <c r="F147">
        <f t="shared" si="69"/>
        <v>48</v>
      </c>
      <c r="G147">
        <f t="shared" si="69"/>
        <v>21</v>
      </c>
      <c r="I147" s="2">
        <f t="shared" si="52"/>
        <v>1307.9132081414164</v>
      </c>
      <c r="J147">
        <f t="shared" si="56"/>
        <v>146000</v>
      </c>
      <c r="K147">
        <f t="shared" si="57"/>
        <v>3300</v>
      </c>
      <c r="L147" s="3">
        <f t="shared" si="58"/>
        <v>4.7248439700000002</v>
      </c>
      <c r="M147" s="3">
        <f t="shared" si="59"/>
        <v>47.248439700000006</v>
      </c>
      <c r="N147" s="2">
        <f t="shared" si="60"/>
        <v>1035.7632081414163</v>
      </c>
      <c r="Q147" s="1">
        <f t="shared" si="53"/>
        <v>146</v>
      </c>
      <c r="R147">
        <f t="shared" si="54"/>
        <v>146000</v>
      </c>
      <c r="S147">
        <f t="shared" si="68"/>
        <v>290</v>
      </c>
      <c r="T147">
        <f t="shared" si="68"/>
        <v>2.5</v>
      </c>
      <c r="U147">
        <f t="shared" si="68"/>
        <v>1.7</v>
      </c>
      <c r="V147">
        <f t="shared" si="68"/>
        <v>47</v>
      </c>
      <c r="W147">
        <f t="shared" si="68"/>
        <v>22</v>
      </c>
      <c r="Y147" s="2">
        <f t="shared" si="55"/>
        <v>1179.3282640957614</v>
      </c>
      <c r="Z147">
        <f t="shared" si="61"/>
        <v>146000</v>
      </c>
      <c r="AA147">
        <f t="shared" si="62"/>
        <v>3300</v>
      </c>
      <c r="AB147" s="3">
        <f t="shared" si="63"/>
        <v>4.7248439700000002</v>
      </c>
      <c r="AC147" s="4">
        <f t="shared" si="64"/>
        <v>47.248439700000006</v>
      </c>
      <c r="AD147" s="2">
        <f t="shared" si="65"/>
        <v>907.17826409576139</v>
      </c>
      <c r="AE147" s="3">
        <f t="shared" si="66"/>
        <v>146</v>
      </c>
    </row>
    <row r="148" spans="1:31" x14ac:dyDescent="0.3">
      <c r="A148">
        <f t="shared" si="50"/>
        <v>147</v>
      </c>
      <c r="B148">
        <f t="shared" si="67"/>
        <v>147000</v>
      </c>
      <c r="C148">
        <f t="shared" si="69"/>
        <v>290</v>
      </c>
      <c r="D148">
        <f t="shared" si="69"/>
        <v>2.5</v>
      </c>
      <c r="E148">
        <f t="shared" si="69"/>
        <v>1.7</v>
      </c>
      <c r="F148">
        <f t="shared" si="69"/>
        <v>48</v>
      </c>
      <c r="G148">
        <f t="shared" si="69"/>
        <v>21</v>
      </c>
      <c r="I148" s="2">
        <f t="shared" si="52"/>
        <v>1312.8465448361696</v>
      </c>
      <c r="J148">
        <f t="shared" si="56"/>
        <v>147000</v>
      </c>
      <c r="K148">
        <f t="shared" si="57"/>
        <v>3300</v>
      </c>
      <c r="L148" s="3">
        <f t="shared" si="58"/>
        <v>4.7572059150000001</v>
      </c>
      <c r="M148" s="3">
        <f t="shared" si="59"/>
        <v>47.572059150000001</v>
      </c>
      <c r="N148" s="2">
        <f t="shared" si="60"/>
        <v>1040.6965448361698</v>
      </c>
      <c r="Q148" s="1">
        <f t="shared" si="53"/>
        <v>147</v>
      </c>
      <c r="R148">
        <f t="shared" si="54"/>
        <v>147000</v>
      </c>
      <c r="S148">
        <f t="shared" ref="S148:W163" si="70">S147</f>
        <v>290</v>
      </c>
      <c r="T148">
        <f t="shared" si="70"/>
        <v>2.5</v>
      </c>
      <c r="U148">
        <f t="shared" si="70"/>
        <v>1.7</v>
      </c>
      <c r="V148">
        <f t="shared" si="70"/>
        <v>47</v>
      </c>
      <c r="W148">
        <f t="shared" si="70"/>
        <v>22</v>
      </c>
      <c r="Y148" s="2">
        <f t="shared" si="55"/>
        <v>1183.1874491284796</v>
      </c>
      <c r="Z148">
        <f t="shared" si="61"/>
        <v>147000</v>
      </c>
      <c r="AA148">
        <f t="shared" si="62"/>
        <v>3300</v>
      </c>
      <c r="AB148" s="3">
        <f t="shared" si="63"/>
        <v>4.7572059150000001</v>
      </c>
      <c r="AC148" s="4">
        <f t="shared" si="64"/>
        <v>47.572059150000001</v>
      </c>
      <c r="AD148" s="2">
        <f t="shared" si="65"/>
        <v>911.03744912847958</v>
      </c>
      <c r="AE148" s="3">
        <f t="shared" si="66"/>
        <v>147</v>
      </c>
    </row>
    <row r="149" spans="1:31" x14ac:dyDescent="0.3">
      <c r="A149">
        <f t="shared" si="50"/>
        <v>148</v>
      </c>
      <c r="B149">
        <f t="shared" si="67"/>
        <v>148000</v>
      </c>
      <c r="C149">
        <f t="shared" ref="C149:G164" si="71">C148</f>
        <v>290</v>
      </c>
      <c r="D149">
        <f t="shared" si="71"/>
        <v>2.5</v>
      </c>
      <c r="E149">
        <f t="shared" si="71"/>
        <v>1.7</v>
      </c>
      <c r="F149">
        <f t="shared" si="71"/>
        <v>48</v>
      </c>
      <c r="G149">
        <f t="shared" si="71"/>
        <v>21</v>
      </c>
      <c r="I149" s="2">
        <f t="shared" si="52"/>
        <v>1317.7792613340041</v>
      </c>
      <c r="J149">
        <f t="shared" si="56"/>
        <v>148000</v>
      </c>
      <c r="K149">
        <f t="shared" si="57"/>
        <v>3300</v>
      </c>
      <c r="L149" s="3">
        <f t="shared" si="58"/>
        <v>4.78956786</v>
      </c>
      <c r="M149" s="3">
        <f t="shared" si="59"/>
        <v>47.895678599999997</v>
      </c>
      <c r="N149" s="2">
        <f t="shared" si="60"/>
        <v>1045.6292613340042</v>
      </c>
      <c r="Q149" s="1">
        <f t="shared" si="53"/>
        <v>148</v>
      </c>
      <c r="R149">
        <f t="shared" si="54"/>
        <v>148000</v>
      </c>
      <c r="S149">
        <f t="shared" si="70"/>
        <v>290</v>
      </c>
      <c r="T149">
        <f t="shared" si="70"/>
        <v>2.5</v>
      </c>
      <c r="U149">
        <f t="shared" si="70"/>
        <v>1.7</v>
      </c>
      <c r="V149">
        <f t="shared" si="70"/>
        <v>47</v>
      </c>
      <c r="W149">
        <f t="shared" si="70"/>
        <v>22</v>
      </c>
      <c r="Y149" s="2">
        <f t="shared" si="55"/>
        <v>1187.0457816365947</v>
      </c>
      <c r="Z149">
        <f t="shared" si="61"/>
        <v>148000</v>
      </c>
      <c r="AA149">
        <f t="shared" si="62"/>
        <v>3300</v>
      </c>
      <c r="AB149" s="3">
        <f t="shared" si="63"/>
        <v>4.78956786</v>
      </c>
      <c r="AC149" s="4">
        <f t="shared" si="64"/>
        <v>47.895678599999997</v>
      </c>
      <c r="AD149" s="2">
        <f t="shared" si="65"/>
        <v>914.89578163659473</v>
      </c>
      <c r="AE149" s="3">
        <f t="shared" si="66"/>
        <v>148</v>
      </c>
    </row>
    <row r="150" spans="1:31" x14ac:dyDescent="0.3">
      <c r="A150">
        <f t="shared" si="50"/>
        <v>149</v>
      </c>
      <c r="B150">
        <f t="shared" si="67"/>
        <v>149000</v>
      </c>
      <c r="C150">
        <f t="shared" si="71"/>
        <v>290</v>
      </c>
      <c r="D150">
        <f t="shared" si="71"/>
        <v>2.5</v>
      </c>
      <c r="E150">
        <f t="shared" si="71"/>
        <v>1.7</v>
      </c>
      <c r="F150">
        <f t="shared" si="71"/>
        <v>48</v>
      </c>
      <c r="G150">
        <f t="shared" si="71"/>
        <v>21</v>
      </c>
      <c r="I150" s="2">
        <f t="shared" si="52"/>
        <v>1322.7113864759656</v>
      </c>
      <c r="J150">
        <f t="shared" si="56"/>
        <v>149000</v>
      </c>
      <c r="K150">
        <f t="shared" si="57"/>
        <v>3300</v>
      </c>
      <c r="L150" s="3">
        <f t="shared" si="58"/>
        <v>4.8219298049999999</v>
      </c>
      <c r="M150" s="3">
        <f t="shared" si="59"/>
        <v>48.219298049999999</v>
      </c>
      <c r="N150" s="2">
        <f t="shared" si="60"/>
        <v>1050.5613864759657</v>
      </c>
      <c r="Q150" s="1">
        <f t="shared" si="53"/>
        <v>149</v>
      </c>
      <c r="R150">
        <f t="shared" si="54"/>
        <v>149000</v>
      </c>
      <c r="S150">
        <f t="shared" si="70"/>
        <v>290</v>
      </c>
      <c r="T150">
        <f t="shared" si="70"/>
        <v>2.5</v>
      </c>
      <c r="U150">
        <f t="shared" si="70"/>
        <v>1.7</v>
      </c>
      <c r="V150">
        <f t="shared" si="70"/>
        <v>47</v>
      </c>
      <c r="W150">
        <f t="shared" si="70"/>
        <v>22</v>
      </c>
      <c r="Y150" s="2">
        <f t="shared" si="55"/>
        <v>1190.9032995037121</v>
      </c>
      <c r="Z150">
        <f t="shared" si="61"/>
        <v>149000</v>
      </c>
      <c r="AA150">
        <f t="shared" si="62"/>
        <v>3300</v>
      </c>
      <c r="AB150" s="3">
        <f t="shared" si="63"/>
        <v>4.8219298049999999</v>
      </c>
      <c r="AC150" s="4">
        <f t="shared" si="64"/>
        <v>48.219298049999999</v>
      </c>
      <c r="AD150" s="2">
        <f t="shared" si="65"/>
        <v>918.75329950371213</v>
      </c>
      <c r="AE150" s="3">
        <f t="shared" si="66"/>
        <v>149</v>
      </c>
    </row>
    <row r="151" spans="1:31" x14ac:dyDescent="0.3">
      <c r="A151">
        <f t="shared" si="50"/>
        <v>150</v>
      </c>
      <c r="B151">
        <f t="shared" si="67"/>
        <v>150000</v>
      </c>
      <c r="C151">
        <f t="shared" si="71"/>
        <v>290</v>
      </c>
      <c r="D151">
        <f t="shared" si="71"/>
        <v>2.5</v>
      </c>
      <c r="E151">
        <f t="shared" si="71"/>
        <v>1.7</v>
      </c>
      <c r="F151">
        <f t="shared" si="71"/>
        <v>48</v>
      </c>
      <c r="G151">
        <f t="shared" si="71"/>
        <v>21</v>
      </c>
      <c r="I151" s="2">
        <f t="shared" si="52"/>
        <v>1327.6429477619026</v>
      </c>
      <c r="J151">
        <f t="shared" si="56"/>
        <v>150000</v>
      </c>
      <c r="K151">
        <f t="shared" si="57"/>
        <v>3300</v>
      </c>
      <c r="L151" s="3">
        <f t="shared" si="58"/>
        <v>4.8542917499999998</v>
      </c>
      <c r="M151" s="3">
        <f t="shared" si="59"/>
        <v>48.542917500000001</v>
      </c>
      <c r="N151" s="2">
        <f t="shared" si="60"/>
        <v>1055.4929477619025</v>
      </c>
      <c r="Q151" s="1">
        <f t="shared" si="53"/>
        <v>150</v>
      </c>
      <c r="R151">
        <f t="shared" si="54"/>
        <v>150000</v>
      </c>
      <c r="S151">
        <f t="shared" si="70"/>
        <v>290</v>
      </c>
      <c r="T151">
        <f t="shared" si="70"/>
        <v>2.5</v>
      </c>
      <c r="U151">
        <f t="shared" si="70"/>
        <v>1.7</v>
      </c>
      <c r="V151">
        <f t="shared" si="70"/>
        <v>47</v>
      </c>
      <c r="W151">
        <f t="shared" si="70"/>
        <v>22</v>
      </c>
      <c r="Y151" s="2">
        <f t="shared" si="55"/>
        <v>1194.7600389300032</v>
      </c>
      <c r="Z151">
        <f t="shared" si="61"/>
        <v>150000</v>
      </c>
      <c r="AA151">
        <f t="shared" si="62"/>
        <v>3300</v>
      </c>
      <c r="AB151" s="3">
        <f t="shared" si="63"/>
        <v>4.8542917499999998</v>
      </c>
      <c r="AC151" s="4">
        <f t="shared" si="64"/>
        <v>48.542917500000001</v>
      </c>
      <c r="AD151" s="2">
        <f t="shared" si="65"/>
        <v>922.61003893000327</v>
      </c>
      <c r="AE151" s="3">
        <f t="shared" si="66"/>
        <v>150</v>
      </c>
    </row>
    <row r="152" spans="1:31" x14ac:dyDescent="0.3">
      <c r="A152">
        <f t="shared" si="50"/>
        <v>151</v>
      </c>
      <c r="B152">
        <f t="shared" si="67"/>
        <v>151000</v>
      </c>
      <c r="C152">
        <f t="shared" si="71"/>
        <v>290</v>
      </c>
      <c r="D152">
        <f t="shared" si="71"/>
        <v>2.5</v>
      </c>
      <c r="E152">
        <f t="shared" si="71"/>
        <v>1.7</v>
      </c>
      <c r="F152">
        <f t="shared" si="71"/>
        <v>48</v>
      </c>
      <c r="G152">
        <f t="shared" si="71"/>
        <v>21</v>
      </c>
      <c r="I152" s="2">
        <f t="shared" si="52"/>
        <v>1332.5739714128376</v>
      </c>
      <c r="J152">
        <f t="shared" si="56"/>
        <v>151000</v>
      </c>
      <c r="K152">
        <f t="shared" si="57"/>
        <v>3300</v>
      </c>
      <c r="L152" s="3">
        <f t="shared" si="58"/>
        <v>4.8866536949999997</v>
      </c>
      <c r="M152" s="3">
        <f t="shared" si="59"/>
        <v>48.866536949999997</v>
      </c>
      <c r="N152" s="2">
        <f t="shared" si="60"/>
        <v>1060.4239714128375</v>
      </c>
      <c r="Q152" s="1">
        <f t="shared" si="53"/>
        <v>151</v>
      </c>
      <c r="R152">
        <f t="shared" si="54"/>
        <v>151000</v>
      </c>
      <c r="S152">
        <f t="shared" si="70"/>
        <v>290</v>
      </c>
      <c r="T152">
        <f t="shared" si="70"/>
        <v>2.5</v>
      </c>
      <c r="U152">
        <f t="shared" si="70"/>
        <v>1.7</v>
      </c>
      <c r="V152">
        <f t="shared" si="70"/>
        <v>47</v>
      </c>
      <c r="W152">
        <f t="shared" si="70"/>
        <v>22</v>
      </c>
      <c r="Y152" s="2">
        <f t="shared" si="55"/>
        <v>1198.6160345070159</v>
      </c>
      <c r="Z152">
        <f t="shared" si="61"/>
        <v>151000</v>
      </c>
      <c r="AA152">
        <f t="shared" si="62"/>
        <v>3300</v>
      </c>
      <c r="AB152" s="3">
        <f t="shared" si="63"/>
        <v>4.8866536949999997</v>
      </c>
      <c r="AC152" s="4">
        <f t="shared" si="64"/>
        <v>48.866536949999997</v>
      </c>
      <c r="AD152" s="2">
        <f t="shared" si="65"/>
        <v>926.46603450701593</v>
      </c>
      <c r="AE152" s="3">
        <f t="shared" si="66"/>
        <v>151</v>
      </c>
    </row>
    <row r="153" spans="1:31" x14ac:dyDescent="0.3">
      <c r="A153">
        <f t="shared" si="50"/>
        <v>152</v>
      </c>
      <c r="B153">
        <f t="shared" si="67"/>
        <v>152000</v>
      </c>
      <c r="C153">
        <f t="shared" si="71"/>
        <v>290</v>
      </c>
      <c r="D153">
        <f t="shared" si="71"/>
        <v>2.5</v>
      </c>
      <c r="E153">
        <f t="shared" si="71"/>
        <v>1.7</v>
      </c>
      <c r="F153">
        <f t="shared" si="71"/>
        <v>48</v>
      </c>
      <c r="G153">
        <f t="shared" si="71"/>
        <v>21</v>
      </c>
      <c r="I153" s="2">
        <f t="shared" si="52"/>
        <v>1337.5044824304357</v>
      </c>
      <c r="J153">
        <f t="shared" si="56"/>
        <v>152000</v>
      </c>
      <c r="K153">
        <f t="shared" si="57"/>
        <v>3300</v>
      </c>
      <c r="L153" s="3">
        <f t="shared" si="58"/>
        <v>4.9190156399999996</v>
      </c>
      <c r="M153" s="3">
        <f t="shared" si="59"/>
        <v>49.190156399999992</v>
      </c>
      <c r="N153" s="2">
        <f t="shared" si="60"/>
        <v>1065.3544824304358</v>
      </c>
      <c r="Q153" s="1">
        <f t="shared" si="53"/>
        <v>152</v>
      </c>
      <c r="R153">
        <f t="shared" si="54"/>
        <v>152000</v>
      </c>
      <c r="S153">
        <f t="shared" si="70"/>
        <v>290</v>
      </c>
      <c r="T153">
        <f t="shared" si="70"/>
        <v>2.5</v>
      </c>
      <c r="U153">
        <f t="shared" si="70"/>
        <v>1.7</v>
      </c>
      <c r="V153">
        <f t="shared" si="70"/>
        <v>47</v>
      </c>
      <c r="W153">
        <f t="shared" si="70"/>
        <v>22</v>
      </c>
      <c r="Y153" s="2">
        <f t="shared" si="55"/>
        <v>1202.4713192891522</v>
      </c>
      <c r="Z153">
        <f t="shared" si="61"/>
        <v>152000</v>
      </c>
      <c r="AA153">
        <f t="shared" si="62"/>
        <v>3300</v>
      </c>
      <c r="AB153" s="3">
        <f t="shared" si="63"/>
        <v>4.9190156399999996</v>
      </c>
      <c r="AC153" s="4">
        <f t="shared" si="64"/>
        <v>49.190156399999992</v>
      </c>
      <c r="AD153" s="2">
        <f t="shared" si="65"/>
        <v>930.32131928915226</v>
      </c>
      <c r="AE153" s="3">
        <f t="shared" si="66"/>
        <v>152</v>
      </c>
    </row>
    <row r="154" spans="1:31" x14ac:dyDescent="0.3">
      <c r="A154">
        <f t="shared" si="50"/>
        <v>153</v>
      </c>
      <c r="B154">
        <f t="shared" si="67"/>
        <v>153000</v>
      </c>
      <c r="C154">
        <f t="shared" si="71"/>
        <v>290</v>
      </c>
      <c r="D154">
        <f t="shared" si="71"/>
        <v>2.5</v>
      </c>
      <c r="E154">
        <f t="shared" si="71"/>
        <v>1.7</v>
      </c>
      <c r="F154">
        <f t="shared" si="71"/>
        <v>48</v>
      </c>
      <c r="G154">
        <f t="shared" si="71"/>
        <v>21</v>
      </c>
      <c r="I154" s="2">
        <f t="shared" si="52"/>
        <v>1342.4345046537071</v>
      </c>
      <c r="J154">
        <f t="shared" si="56"/>
        <v>153000</v>
      </c>
      <c r="K154">
        <f t="shared" si="57"/>
        <v>3300</v>
      </c>
      <c r="L154" s="3">
        <f t="shared" si="58"/>
        <v>4.9513775850000004</v>
      </c>
      <c r="M154" s="3">
        <f t="shared" si="59"/>
        <v>49.513775850000002</v>
      </c>
      <c r="N154" s="2">
        <f t="shared" si="60"/>
        <v>1070.2845046537072</v>
      </c>
      <c r="Q154" s="1">
        <f t="shared" si="53"/>
        <v>153</v>
      </c>
      <c r="R154">
        <f t="shared" si="54"/>
        <v>153000</v>
      </c>
      <c r="S154">
        <f t="shared" si="70"/>
        <v>290</v>
      </c>
      <c r="T154">
        <f t="shared" si="70"/>
        <v>2.5</v>
      </c>
      <c r="U154">
        <f t="shared" si="70"/>
        <v>1.7</v>
      </c>
      <c r="V154">
        <f t="shared" si="70"/>
        <v>47</v>
      </c>
      <c r="W154">
        <f t="shared" si="70"/>
        <v>22</v>
      </c>
      <c r="Y154" s="2">
        <f t="shared" si="55"/>
        <v>1206.3259248619797</v>
      </c>
      <c r="Z154">
        <f t="shared" si="61"/>
        <v>153000</v>
      </c>
      <c r="AA154">
        <f t="shared" si="62"/>
        <v>3300</v>
      </c>
      <c r="AB154" s="3">
        <f t="shared" si="63"/>
        <v>4.9513775850000004</v>
      </c>
      <c r="AC154" s="4">
        <f t="shared" si="64"/>
        <v>49.513775850000002</v>
      </c>
      <c r="AD154" s="2">
        <f t="shared" si="65"/>
        <v>934.17592486197975</v>
      </c>
      <c r="AE154" s="3">
        <f t="shared" si="66"/>
        <v>153</v>
      </c>
    </row>
    <row r="155" spans="1:31" x14ac:dyDescent="0.3">
      <c r="A155">
        <f t="shared" si="50"/>
        <v>154</v>
      </c>
      <c r="B155">
        <f t="shared" si="67"/>
        <v>154000</v>
      </c>
      <c r="C155">
        <f t="shared" si="71"/>
        <v>290</v>
      </c>
      <c r="D155">
        <f t="shared" si="71"/>
        <v>2.5</v>
      </c>
      <c r="E155">
        <f t="shared" si="71"/>
        <v>1.7</v>
      </c>
      <c r="F155">
        <f t="shared" si="71"/>
        <v>48</v>
      </c>
      <c r="G155">
        <f t="shared" si="71"/>
        <v>21</v>
      </c>
      <c r="I155" s="2">
        <f t="shared" si="52"/>
        <v>1347.3640608130772</v>
      </c>
      <c r="J155">
        <f t="shared" si="56"/>
        <v>154000</v>
      </c>
      <c r="K155">
        <f t="shared" si="57"/>
        <v>3300</v>
      </c>
      <c r="L155" s="3">
        <f t="shared" si="58"/>
        <v>4.9837395300000003</v>
      </c>
      <c r="M155" s="3">
        <f t="shared" si="59"/>
        <v>49.837395300000004</v>
      </c>
      <c r="N155" s="2">
        <f t="shared" si="60"/>
        <v>1075.2140608130771</v>
      </c>
      <c r="Q155" s="1">
        <f t="shared" si="53"/>
        <v>154</v>
      </c>
      <c r="R155">
        <f t="shared" si="54"/>
        <v>154000</v>
      </c>
      <c r="S155">
        <f t="shared" si="70"/>
        <v>290</v>
      </c>
      <c r="T155">
        <f t="shared" si="70"/>
        <v>2.5</v>
      </c>
      <c r="U155">
        <f t="shared" si="70"/>
        <v>1.7</v>
      </c>
      <c r="V155">
        <f t="shared" si="70"/>
        <v>47</v>
      </c>
      <c r="W155">
        <f t="shared" si="70"/>
        <v>22</v>
      </c>
      <c r="Y155" s="2">
        <f t="shared" si="55"/>
        <v>1210.1798814074971</v>
      </c>
      <c r="Z155">
        <f t="shared" si="61"/>
        <v>154000</v>
      </c>
      <c r="AA155">
        <f t="shared" si="62"/>
        <v>3300</v>
      </c>
      <c r="AB155" s="3">
        <f t="shared" si="63"/>
        <v>4.9837395300000003</v>
      </c>
      <c r="AC155" s="4">
        <f t="shared" si="64"/>
        <v>49.837395300000004</v>
      </c>
      <c r="AD155" s="2">
        <f t="shared" si="65"/>
        <v>938.0298814074971</v>
      </c>
      <c r="AE155" s="3">
        <f t="shared" si="66"/>
        <v>154</v>
      </c>
    </row>
    <row r="156" spans="1:31" x14ac:dyDescent="0.3">
      <c r="A156">
        <f t="shared" si="50"/>
        <v>155</v>
      </c>
      <c r="B156">
        <f t="shared" si="67"/>
        <v>155000</v>
      </c>
      <c r="C156">
        <f t="shared" si="71"/>
        <v>290</v>
      </c>
      <c r="D156">
        <f t="shared" si="71"/>
        <v>2.5</v>
      </c>
      <c r="E156">
        <f t="shared" si="71"/>
        <v>1.7</v>
      </c>
      <c r="F156">
        <f t="shared" si="71"/>
        <v>48</v>
      </c>
      <c r="G156">
        <f t="shared" si="71"/>
        <v>21</v>
      </c>
      <c r="I156" s="2">
        <f t="shared" si="52"/>
        <v>1352.2931725819365</v>
      </c>
      <c r="J156">
        <f t="shared" si="56"/>
        <v>155000</v>
      </c>
      <c r="K156">
        <f t="shared" si="57"/>
        <v>3300</v>
      </c>
      <c r="L156" s="3">
        <f t="shared" si="58"/>
        <v>5.0161014750000001</v>
      </c>
      <c r="M156" s="3">
        <f t="shared" si="59"/>
        <v>50.16101475</v>
      </c>
      <c r="N156" s="2">
        <f t="shared" si="60"/>
        <v>1080.1431725819366</v>
      </c>
      <c r="Q156" s="1">
        <f t="shared" si="53"/>
        <v>155</v>
      </c>
      <c r="R156">
        <f t="shared" si="54"/>
        <v>155000</v>
      </c>
      <c r="S156">
        <f t="shared" si="70"/>
        <v>290</v>
      </c>
      <c r="T156">
        <f t="shared" si="70"/>
        <v>2.5</v>
      </c>
      <c r="U156">
        <f t="shared" si="70"/>
        <v>1.7</v>
      </c>
      <c r="V156">
        <f t="shared" si="70"/>
        <v>47</v>
      </c>
      <c r="W156">
        <f t="shared" si="70"/>
        <v>22</v>
      </c>
      <c r="Y156" s="2">
        <f t="shared" si="55"/>
        <v>1214.0332177665068</v>
      </c>
      <c r="Z156">
        <f t="shared" si="61"/>
        <v>155000</v>
      </c>
      <c r="AA156">
        <f t="shared" si="62"/>
        <v>3300</v>
      </c>
      <c r="AB156" s="3">
        <f t="shared" si="63"/>
        <v>5.0161014750000001</v>
      </c>
      <c r="AC156" s="4">
        <f t="shared" si="64"/>
        <v>50.16101475</v>
      </c>
      <c r="AD156" s="2">
        <f t="shared" si="65"/>
        <v>941.88321776650685</v>
      </c>
      <c r="AE156" s="3">
        <f t="shared" si="66"/>
        <v>155</v>
      </c>
    </row>
    <row r="157" spans="1:31" x14ac:dyDescent="0.3">
      <c r="A157">
        <f t="shared" si="50"/>
        <v>156</v>
      </c>
      <c r="B157">
        <f t="shared" si="67"/>
        <v>156000</v>
      </c>
      <c r="C157">
        <f t="shared" si="71"/>
        <v>290</v>
      </c>
      <c r="D157">
        <f t="shared" si="71"/>
        <v>2.5</v>
      </c>
      <c r="E157">
        <f t="shared" si="71"/>
        <v>1.7</v>
      </c>
      <c r="F157">
        <f t="shared" si="71"/>
        <v>48</v>
      </c>
      <c r="G157">
        <f t="shared" si="71"/>
        <v>21</v>
      </c>
      <c r="I157" s="2">
        <f t="shared" si="52"/>
        <v>1357.2218606257968</v>
      </c>
      <c r="J157">
        <f t="shared" si="56"/>
        <v>156000</v>
      </c>
      <c r="K157">
        <f t="shared" si="57"/>
        <v>3300</v>
      </c>
      <c r="L157" s="3">
        <f t="shared" si="58"/>
        <v>5.04846342</v>
      </c>
      <c r="M157" s="3">
        <f t="shared" si="59"/>
        <v>50.484634200000002</v>
      </c>
      <c r="N157" s="2">
        <f t="shared" si="60"/>
        <v>1085.0718606257969</v>
      </c>
      <c r="Q157" s="1">
        <f t="shared" si="53"/>
        <v>156</v>
      </c>
      <c r="R157">
        <f t="shared" si="54"/>
        <v>156000</v>
      </c>
      <c r="S157">
        <f t="shared" si="70"/>
        <v>290</v>
      </c>
      <c r="T157">
        <f t="shared" si="70"/>
        <v>2.5</v>
      </c>
      <c r="U157">
        <f t="shared" si="70"/>
        <v>1.7</v>
      </c>
      <c r="V157">
        <f t="shared" si="70"/>
        <v>47</v>
      </c>
      <c r="W157">
        <f t="shared" si="70"/>
        <v>22</v>
      </c>
      <c r="Y157" s="2">
        <f t="shared" si="55"/>
        <v>1217.8859614982157</v>
      </c>
      <c r="Z157">
        <f t="shared" si="61"/>
        <v>156000</v>
      </c>
      <c r="AA157">
        <f t="shared" si="62"/>
        <v>3300</v>
      </c>
      <c r="AB157" s="3">
        <f t="shared" si="63"/>
        <v>5.04846342</v>
      </c>
      <c r="AC157" s="4">
        <f t="shared" si="64"/>
        <v>50.484634200000002</v>
      </c>
      <c r="AD157" s="2">
        <f t="shared" si="65"/>
        <v>945.73596149821572</v>
      </c>
      <c r="AE157" s="3">
        <f t="shared" si="66"/>
        <v>156</v>
      </c>
    </row>
    <row r="158" spans="1:31" x14ac:dyDescent="0.3">
      <c r="A158">
        <f t="shared" si="50"/>
        <v>157</v>
      </c>
      <c r="B158">
        <f t="shared" si="67"/>
        <v>157000</v>
      </c>
      <c r="C158">
        <f t="shared" si="71"/>
        <v>290</v>
      </c>
      <c r="D158">
        <f t="shared" si="71"/>
        <v>2.5</v>
      </c>
      <c r="E158">
        <f t="shared" si="71"/>
        <v>1.7</v>
      </c>
      <c r="F158">
        <f t="shared" si="71"/>
        <v>48</v>
      </c>
      <c r="G158">
        <f t="shared" si="71"/>
        <v>21</v>
      </c>
      <c r="I158" s="2">
        <f t="shared" si="52"/>
        <v>1362.1501446491618</v>
      </c>
      <c r="J158">
        <f t="shared" si="56"/>
        <v>157000</v>
      </c>
      <c r="K158">
        <f t="shared" si="57"/>
        <v>3300</v>
      </c>
      <c r="L158" s="3">
        <f t="shared" si="58"/>
        <v>5.0808253649999999</v>
      </c>
      <c r="M158" s="3">
        <f t="shared" si="59"/>
        <v>50.808253649999997</v>
      </c>
      <c r="N158" s="2">
        <f t="shared" si="60"/>
        <v>1090.0001446491619</v>
      </c>
      <c r="Q158" s="1">
        <f t="shared" si="53"/>
        <v>157</v>
      </c>
      <c r="R158">
        <f t="shared" si="54"/>
        <v>157000</v>
      </c>
      <c r="S158">
        <f t="shared" si="70"/>
        <v>290</v>
      </c>
      <c r="T158">
        <f t="shared" si="70"/>
        <v>2.5</v>
      </c>
      <c r="U158">
        <f t="shared" si="70"/>
        <v>1.7</v>
      </c>
      <c r="V158">
        <f t="shared" si="70"/>
        <v>47</v>
      </c>
      <c r="W158">
        <f t="shared" si="70"/>
        <v>22</v>
      </c>
      <c r="Y158" s="2">
        <f t="shared" si="55"/>
        <v>1221.7381389371803</v>
      </c>
      <c r="Z158">
        <f t="shared" si="61"/>
        <v>157000</v>
      </c>
      <c r="AA158">
        <f t="shared" si="62"/>
        <v>3300</v>
      </c>
      <c r="AB158" s="3">
        <f t="shared" si="63"/>
        <v>5.0808253649999999</v>
      </c>
      <c r="AC158" s="4">
        <f t="shared" si="64"/>
        <v>50.808253649999997</v>
      </c>
      <c r="AD158" s="2">
        <f t="shared" si="65"/>
        <v>949.58813893718036</v>
      </c>
      <c r="AE158" s="3">
        <f t="shared" si="66"/>
        <v>157</v>
      </c>
    </row>
    <row r="159" spans="1:31" x14ac:dyDescent="0.3">
      <c r="A159">
        <f t="shared" si="50"/>
        <v>158</v>
      </c>
      <c r="B159">
        <f t="shared" si="67"/>
        <v>158000</v>
      </c>
      <c r="C159">
        <f t="shared" si="71"/>
        <v>290</v>
      </c>
      <c r="D159">
        <f t="shared" si="71"/>
        <v>2.5</v>
      </c>
      <c r="E159">
        <f t="shared" si="71"/>
        <v>1.7</v>
      </c>
      <c r="F159">
        <f t="shared" si="71"/>
        <v>48</v>
      </c>
      <c r="G159">
        <f t="shared" si="71"/>
        <v>21</v>
      </c>
      <c r="I159" s="2">
        <f t="shared" si="52"/>
        <v>1367.0780434402136</v>
      </c>
      <c r="J159">
        <f t="shared" si="56"/>
        <v>158000</v>
      </c>
      <c r="K159">
        <f t="shared" si="57"/>
        <v>3300</v>
      </c>
      <c r="L159" s="3">
        <f t="shared" si="58"/>
        <v>5.1131873099999998</v>
      </c>
      <c r="M159" s="3">
        <f t="shared" si="59"/>
        <v>51.1318731</v>
      </c>
      <c r="N159" s="2">
        <f t="shared" si="60"/>
        <v>1094.9280434402135</v>
      </c>
      <c r="Q159" s="1">
        <f t="shared" si="53"/>
        <v>158</v>
      </c>
      <c r="R159">
        <f t="shared" si="54"/>
        <v>158000</v>
      </c>
      <c r="S159">
        <f t="shared" si="70"/>
        <v>290</v>
      </c>
      <c r="T159">
        <f t="shared" si="70"/>
        <v>2.5</v>
      </c>
      <c r="U159">
        <f t="shared" si="70"/>
        <v>1.7</v>
      </c>
      <c r="V159">
        <f t="shared" si="70"/>
        <v>47</v>
      </c>
      <c r="W159">
        <f t="shared" si="70"/>
        <v>22</v>
      </c>
      <c r="Y159" s="2">
        <f t="shared" si="55"/>
        <v>1225.589775247732</v>
      </c>
      <c r="Z159">
        <f t="shared" si="61"/>
        <v>158000</v>
      </c>
      <c r="AA159">
        <f t="shared" si="62"/>
        <v>3300</v>
      </c>
      <c r="AB159" s="3">
        <f t="shared" si="63"/>
        <v>5.1131873099999998</v>
      </c>
      <c r="AC159" s="4">
        <f t="shared" si="64"/>
        <v>51.1318731</v>
      </c>
      <c r="AD159" s="2">
        <f t="shared" si="65"/>
        <v>953.43977524773197</v>
      </c>
      <c r="AE159" s="3">
        <f t="shared" si="66"/>
        <v>158</v>
      </c>
    </row>
    <row r="160" spans="1:31" x14ac:dyDescent="0.3">
      <c r="A160">
        <f t="shared" si="50"/>
        <v>159</v>
      </c>
      <c r="B160">
        <f t="shared" si="67"/>
        <v>159000</v>
      </c>
      <c r="C160">
        <f t="shared" si="71"/>
        <v>290</v>
      </c>
      <c r="D160">
        <f t="shared" si="71"/>
        <v>2.5</v>
      </c>
      <c r="E160">
        <f t="shared" si="71"/>
        <v>1.7</v>
      </c>
      <c r="F160">
        <f t="shared" si="71"/>
        <v>48</v>
      </c>
      <c r="G160">
        <f t="shared" si="71"/>
        <v>21</v>
      </c>
      <c r="I160" s="2">
        <f t="shared" si="52"/>
        <v>1372.0055749134281</v>
      </c>
      <c r="J160">
        <f t="shared" si="56"/>
        <v>159000</v>
      </c>
      <c r="K160">
        <f t="shared" si="57"/>
        <v>3300</v>
      </c>
      <c r="L160" s="3">
        <f t="shared" si="58"/>
        <v>5.1455492549999997</v>
      </c>
      <c r="M160" s="3">
        <f t="shared" si="59"/>
        <v>51.455492549999995</v>
      </c>
      <c r="N160" s="2">
        <f t="shared" si="60"/>
        <v>1099.855574913428</v>
      </c>
      <c r="Q160" s="1">
        <f t="shared" si="53"/>
        <v>159</v>
      </c>
      <c r="R160">
        <f t="shared" si="54"/>
        <v>159000</v>
      </c>
      <c r="S160">
        <f t="shared" si="70"/>
        <v>290</v>
      </c>
      <c r="T160">
        <f t="shared" si="70"/>
        <v>2.5</v>
      </c>
      <c r="U160">
        <f t="shared" si="70"/>
        <v>1.7</v>
      </c>
      <c r="V160">
        <f t="shared" si="70"/>
        <v>47</v>
      </c>
      <c r="W160">
        <f t="shared" si="70"/>
        <v>22</v>
      </c>
      <c r="Y160" s="2">
        <f t="shared" si="55"/>
        <v>1229.440894475973</v>
      </c>
      <c r="Z160">
        <f t="shared" si="61"/>
        <v>159000</v>
      </c>
      <c r="AA160">
        <f t="shared" si="62"/>
        <v>3300</v>
      </c>
      <c r="AB160" s="3">
        <f t="shared" si="63"/>
        <v>5.1455492549999997</v>
      </c>
      <c r="AC160" s="4">
        <f t="shared" si="64"/>
        <v>51.455492549999995</v>
      </c>
      <c r="AD160" s="2">
        <f t="shared" si="65"/>
        <v>957.290894475973</v>
      </c>
      <c r="AE160" s="3">
        <f t="shared" si="66"/>
        <v>159</v>
      </c>
    </row>
    <row r="161" spans="1:31" x14ac:dyDescent="0.3">
      <c r="A161">
        <f t="shared" si="50"/>
        <v>160</v>
      </c>
      <c r="B161">
        <f t="shared" si="67"/>
        <v>160000</v>
      </c>
      <c r="C161">
        <f t="shared" si="71"/>
        <v>290</v>
      </c>
      <c r="D161">
        <f t="shared" si="71"/>
        <v>2.5</v>
      </c>
      <c r="E161">
        <f t="shared" si="71"/>
        <v>1.7</v>
      </c>
      <c r="F161">
        <f t="shared" si="71"/>
        <v>48</v>
      </c>
      <c r="G161">
        <f t="shared" si="71"/>
        <v>21</v>
      </c>
      <c r="I161" s="2">
        <f t="shared" si="52"/>
        <v>1376.9327561502041</v>
      </c>
      <c r="J161">
        <f t="shared" si="56"/>
        <v>160000</v>
      </c>
      <c r="K161">
        <f t="shared" si="57"/>
        <v>3300</v>
      </c>
      <c r="L161" s="3">
        <f t="shared" si="58"/>
        <v>5.1779111999999996</v>
      </c>
      <c r="M161" s="3">
        <f t="shared" si="59"/>
        <v>51.779111999999998</v>
      </c>
      <c r="N161" s="2">
        <f t="shared" si="60"/>
        <v>1104.782756150204</v>
      </c>
      <c r="Q161" s="1">
        <f t="shared" si="53"/>
        <v>160</v>
      </c>
      <c r="R161">
        <f t="shared" si="54"/>
        <v>160000</v>
      </c>
      <c r="S161">
        <f t="shared" si="70"/>
        <v>290</v>
      </c>
      <c r="T161">
        <f t="shared" si="70"/>
        <v>2.5</v>
      </c>
      <c r="U161">
        <f t="shared" si="70"/>
        <v>1.7</v>
      </c>
      <c r="V161">
        <f t="shared" si="70"/>
        <v>47</v>
      </c>
      <c r="W161">
        <f t="shared" si="70"/>
        <v>22</v>
      </c>
      <c r="Y161" s="2">
        <f t="shared" si="55"/>
        <v>1233.2915195994724</v>
      </c>
      <c r="Z161">
        <f t="shared" si="61"/>
        <v>160000</v>
      </c>
      <c r="AA161">
        <f t="shared" si="62"/>
        <v>3300</v>
      </c>
      <c r="AB161" s="3">
        <f t="shared" si="63"/>
        <v>5.1779111999999996</v>
      </c>
      <c r="AC161" s="4">
        <f t="shared" si="64"/>
        <v>51.779111999999998</v>
      </c>
      <c r="AD161" s="2">
        <f t="shared" si="65"/>
        <v>961.14151959947242</v>
      </c>
      <c r="AE161" s="3">
        <f t="shared" si="66"/>
        <v>160</v>
      </c>
    </row>
    <row r="162" spans="1:31" x14ac:dyDescent="0.3">
      <c r="A162">
        <f t="shared" si="50"/>
        <v>161</v>
      </c>
      <c r="B162">
        <f t="shared" si="67"/>
        <v>161000</v>
      </c>
      <c r="C162">
        <f t="shared" si="71"/>
        <v>290</v>
      </c>
      <c r="D162">
        <f t="shared" si="71"/>
        <v>2.5</v>
      </c>
      <c r="E162">
        <f t="shared" si="71"/>
        <v>1.7</v>
      </c>
      <c r="F162">
        <f t="shared" si="71"/>
        <v>48</v>
      </c>
      <c r="G162">
        <f t="shared" si="71"/>
        <v>21</v>
      </c>
      <c r="I162" s="2">
        <f t="shared" si="52"/>
        <v>1381.8596034376012</v>
      </c>
      <c r="J162">
        <f t="shared" si="56"/>
        <v>161000</v>
      </c>
      <c r="K162">
        <f t="shared" si="57"/>
        <v>3300</v>
      </c>
      <c r="L162" s="3">
        <f t="shared" si="58"/>
        <v>5.2102731450000004</v>
      </c>
      <c r="M162" s="3">
        <f t="shared" si="59"/>
        <v>52.102731450000007</v>
      </c>
      <c r="N162" s="2">
        <f t="shared" si="60"/>
        <v>1109.7096034376013</v>
      </c>
      <c r="Q162" s="1">
        <f t="shared" si="53"/>
        <v>161</v>
      </c>
      <c r="R162">
        <f t="shared" si="54"/>
        <v>161000</v>
      </c>
      <c r="S162">
        <f t="shared" si="70"/>
        <v>290</v>
      </c>
      <c r="T162">
        <f t="shared" si="70"/>
        <v>2.5</v>
      </c>
      <c r="U162">
        <f t="shared" si="70"/>
        <v>1.7</v>
      </c>
      <c r="V162">
        <f t="shared" si="70"/>
        <v>47</v>
      </c>
      <c r="W162">
        <f t="shared" si="70"/>
        <v>22</v>
      </c>
      <c r="Y162" s="2">
        <f t="shared" si="55"/>
        <v>1237.141672574744</v>
      </c>
      <c r="Z162">
        <f t="shared" si="61"/>
        <v>161000</v>
      </c>
      <c r="AA162">
        <f t="shared" si="62"/>
        <v>3300</v>
      </c>
      <c r="AB162" s="3">
        <f t="shared" si="63"/>
        <v>5.2102731450000004</v>
      </c>
      <c r="AC162" s="4">
        <f t="shared" si="64"/>
        <v>52.102731450000007</v>
      </c>
      <c r="AD162" s="2">
        <f t="shared" si="65"/>
        <v>964.99167257474403</v>
      </c>
      <c r="AE162" s="3">
        <f t="shared" si="66"/>
        <v>161</v>
      </c>
    </row>
    <row r="163" spans="1:31" x14ac:dyDescent="0.3">
      <c r="A163">
        <f t="shared" si="50"/>
        <v>162</v>
      </c>
      <c r="B163">
        <f t="shared" si="67"/>
        <v>162000</v>
      </c>
      <c r="C163">
        <f t="shared" si="71"/>
        <v>290</v>
      </c>
      <c r="D163">
        <f t="shared" si="71"/>
        <v>2.5</v>
      </c>
      <c r="E163">
        <f t="shared" si="71"/>
        <v>1.7</v>
      </c>
      <c r="F163">
        <f t="shared" si="71"/>
        <v>48</v>
      </c>
      <c r="G163">
        <f t="shared" si="71"/>
        <v>21</v>
      </c>
      <c r="I163" s="2">
        <f t="shared" si="52"/>
        <v>1386.7861323052839</v>
      </c>
      <c r="J163">
        <f t="shared" si="56"/>
        <v>162000</v>
      </c>
      <c r="K163">
        <f t="shared" si="57"/>
        <v>3300</v>
      </c>
      <c r="L163" s="3">
        <f t="shared" si="58"/>
        <v>5.2426350900000003</v>
      </c>
      <c r="M163" s="3">
        <f t="shared" si="59"/>
        <v>52.426350900000003</v>
      </c>
      <c r="N163" s="2">
        <f t="shared" si="60"/>
        <v>1114.6361323052838</v>
      </c>
      <c r="Q163" s="1">
        <f t="shared" si="53"/>
        <v>162</v>
      </c>
      <c r="R163">
        <f t="shared" si="54"/>
        <v>162000</v>
      </c>
      <c r="S163">
        <f t="shared" si="70"/>
        <v>290</v>
      </c>
      <c r="T163">
        <f t="shared" si="70"/>
        <v>2.5</v>
      </c>
      <c r="U163">
        <f t="shared" si="70"/>
        <v>1.7</v>
      </c>
      <c r="V163">
        <f t="shared" si="70"/>
        <v>47</v>
      </c>
      <c r="W163">
        <f t="shared" si="70"/>
        <v>22</v>
      </c>
      <c r="Y163" s="2">
        <f t="shared" si="55"/>
        <v>1240.9913743826219</v>
      </c>
      <c r="Z163">
        <f t="shared" si="61"/>
        <v>162000</v>
      </c>
      <c r="AA163">
        <f t="shared" si="62"/>
        <v>3300</v>
      </c>
      <c r="AB163" s="3">
        <f t="shared" si="63"/>
        <v>5.2426350900000003</v>
      </c>
      <c r="AC163" s="4">
        <f t="shared" si="64"/>
        <v>52.426350900000003</v>
      </c>
      <c r="AD163" s="2">
        <f t="shared" si="65"/>
        <v>968.84137438262189</v>
      </c>
      <c r="AE163" s="3">
        <f t="shared" si="66"/>
        <v>162</v>
      </c>
    </row>
    <row r="164" spans="1:31" x14ac:dyDescent="0.3">
      <c r="A164">
        <f t="shared" si="50"/>
        <v>163</v>
      </c>
      <c r="B164">
        <f t="shared" si="67"/>
        <v>163000</v>
      </c>
      <c r="C164">
        <f t="shared" si="71"/>
        <v>290</v>
      </c>
      <c r="D164">
        <f t="shared" si="71"/>
        <v>2.5</v>
      </c>
      <c r="E164">
        <f t="shared" si="71"/>
        <v>1.7</v>
      </c>
      <c r="F164">
        <f t="shared" si="71"/>
        <v>48</v>
      </c>
      <c r="G164">
        <f t="shared" si="71"/>
        <v>21</v>
      </c>
      <c r="I164" s="2">
        <f t="shared" si="52"/>
        <v>1391.7123575607375</v>
      </c>
      <c r="J164">
        <f t="shared" si="56"/>
        <v>163000</v>
      </c>
      <c r="K164">
        <f t="shared" si="57"/>
        <v>3300</v>
      </c>
      <c r="L164" s="3">
        <f t="shared" si="58"/>
        <v>5.2749970350000002</v>
      </c>
      <c r="M164" s="3">
        <f t="shared" si="59"/>
        <v>52.749970349999998</v>
      </c>
      <c r="N164" s="2">
        <f t="shared" si="60"/>
        <v>1119.5623575607374</v>
      </c>
      <c r="Q164" s="1">
        <f t="shared" si="53"/>
        <v>163</v>
      </c>
      <c r="R164">
        <f t="shared" si="54"/>
        <v>163000</v>
      </c>
      <c r="S164">
        <f t="shared" ref="S164:W179" si="72">S163</f>
        <v>290</v>
      </c>
      <c r="T164">
        <f t="shared" si="72"/>
        <v>2.5</v>
      </c>
      <c r="U164">
        <f t="shared" si="72"/>
        <v>1.7</v>
      </c>
      <c r="V164">
        <f t="shared" si="72"/>
        <v>47</v>
      </c>
      <c r="W164">
        <f t="shared" si="72"/>
        <v>22</v>
      </c>
      <c r="Y164" s="2">
        <f t="shared" si="55"/>
        <v>1244.8406450716147</v>
      </c>
      <c r="Z164">
        <f t="shared" si="61"/>
        <v>163000</v>
      </c>
      <c r="AA164">
        <f t="shared" si="62"/>
        <v>3300</v>
      </c>
      <c r="AB164" s="3">
        <f t="shared" si="63"/>
        <v>5.2749970350000002</v>
      </c>
      <c r="AC164" s="4">
        <f t="shared" si="64"/>
        <v>52.749970349999998</v>
      </c>
      <c r="AD164" s="2">
        <f t="shared" si="65"/>
        <v>972.69064507161477</v>
      </c>
      <c r="AE164" s="3">
        <f t="shared" si="66"/>
        <v>163</v>
      </c>
    </row>
    <row r="165" spans="1:31" x14ac:dyDescent="0.3">
      <c r="A165">
        <f t="shared" si="50"/>
        <v>164</v>
      </c>
      <c r="B165">
        <f t="shared" si="67"/>
        <v>164000</v>
      </c>
      <c r="C165">
        <f t="shared" ref="C165:G180" si="73">C164</f>
        <v>290</v>
      </c>
      <c r="D165">
        <f t="shared" si="73"/>
        <v>2.5</v>
      </c>
      <c r="E165">
        <f t="shared" si="73"/>
        <v>1.7</v>
      </c>
      <c r="F165">
        <f t="shared" si="73"/>
        <v>48</v>
      </c>
      <c r="G165">
        <f t="shared" si="73"/>
        <v>21</v>
      </c>
      <c r="I165" s="2">
        <f t="shared" si="52"/>
        <v>1396.6382933228558</v>
      </c>
      <c r="J165">
        <f t="shared" si="56"/>
        <v>164000</v>
      </c>
      <c r="K165">
        <f t="shared" si="57"/>
        <v>3300</v>
      </c>
      <c r="L165" s="3">
        <f t="shared" si="58"/>
        <v>5.3073589800000001</v>
      </c>
      <c r="M165" s="3">
        <f t="shared" si="59"/>
        <v>53.073589800000001</v>
      </c>
      <c r="N165" s="2">
        <f t="shared" si="60"/>
        <v>1124.488293322856</v>
      </c>
      <c r="Q165" s="1">
        <f t="shared" si="53"/>
        <v>164</v>
      </c>
      <c r="R165">
        <f t="shared" si="54"/>
        <v>164000</v>
      </c>
      <c r="S165">
        <f t="shared" si="72"/>
        <v>290</v>
      </c>
      <c r="T165">
        <f t="shared" si="72"/>
        <v>2.5</v>
      </c>
      <c r="U165">
        <f t="shared" si="72"/>
        <v>1.7</v>
      </c>
      <c r="V165">
        <f t="shared" si="72"/>
        <v>47</v>
      </c>
      <c r="W165">
        <f t="shared" si="72"/>
        <v>22</v>
      </c>
      <c r="Y165" s="2">
        <f t="shared" si="55"/>
        <v>1248.6895037993377</v>
      </c>
      <c r="Z165">
        <f t="shared" si="61"/>
        <v>164000</v>
      </c>
      <c r="AA165">
        <f t="shared" si="62"/>
        <v>3300</v>
      </c>
      <c r="AB165" s="3">
        <f t="shared" si="63"/>
        <v>5.3073589800000001</v>
      </c>
      <c r="AC165" s="4">
        <f t="shared" si="64"/>
        <v>53.073589800000001</v>
      </c>
      <c r="AD165" s="2">
        <f t="shared" si="65"/>
        <v>976.53950379933769</v>
      </c>
      <c r="AE165" s="3">
        <f t="shared" si="66"/>
        <v>164</v>
      </c>
    </row>
    <row r="166" spans="1:31" x14ac:dyDescent="0.3">
      <c r="A166">
        <f t="shared" si="50"/>
        <v>165</v>
      </c>
      <c r="B166">
        <f t="shared" si="67"/>
        <v>165000</v>
      </c>
      <c r="C166">
        <f t="shared" si="73"/>
        <v>290</v>
      </c>
      <c r="D166">
        <f t="shared" si="73"/>
        <v>2.5</v>
      </c>
      <c r="E166">
        <f t="shared" si="73"/>
        <v>1.7</v>
      </c>
      <c r="F166">
        <f t="shared" si="73"/>
        <v>48</v>
      </c>
      <c r="G166">
        <f t="shared" si="73"/>
        <v>21</v>
      </c>
      <c r="I166" s="2">
        <f t="shared" si="52"/>
        <v>1401.5639530539602</v>
      </c>
      <c r="J166">
        <f t="shared" si="56"/>
        <v>165000</v>
      </c>
      <c r="K166">
        <f t="shared" si="57"/>
        <v>3300</v>
      </c>
      <c r="L166" s="3">
        <f t="shared" si="58"/>
        <v>5.339720925</v>
      </c>
      <c r="M166" s="3">
        <f t="shared" si="59"/>
        <v>53.397209250000003</v>
      </c>
      <c r="N166" s="2">
        <f t="shared" si="60"/>
        <v>1129.4139530539601</v>
      </c>
      <c r="Q166" s="1">
        <f t="shared" si="53"/>
        <v>165</v>
      </c>
      <c r="R166">
        <f t="shared" si="54"/>
        <v>165000</v>
      </c>
      <c r="S166">
        <f t="shared" si="72"/>
        <v>290</v>
      </c>
      <c r="T166">
        <f t="shared" si="72"/>
        <v>2.5</v>
      </c>
      <c r="U166">
        <f t="shared" si="72"/>
        <v>1.7</v>
      </c>
      <c r="V166">
        <f t="shared" si="72"/>
        <v>47</v>
      </c>
      <c r="W166">
        <f t="shared" si="72"/>
        <v>22</v>
      </c>
      <c r="Y166" s="2">
        <f t="shared" si="55"/>
        <v>1252.5379688720968</v>
      </c>
      <c r="Z166">
        <f t="shared" si="61"/>
        <v>165000</v>
      </c>
      <c r="AA166">
        <f t="shared" si="62"/>
        <v>3300</v>
      </c>
      <c r="AB166" s="3">
        <f t="shared" si="63"/>
        <v>5.339720925</v>
      </c>
      <c r="AC166" s="4">
        <f t="shared" si="64"/>
        <v>53.397209250000003</v>
      </c>
      <c r="AD166" s="2">
        <f t="shared" si="65"/>
        <v>980.38796887209685</v>
      </c>
      <c r="AE166" s="3">
        <f t="shared" si="66"/>
        <v>165</v>
      </c>
    </row>
    <row r="167" spans="1:31" x14ac:dyDescent="0.3">
      <c r="A167">
        <f t="shared" si="50"/>
        <v>166</v>
      </c>
      <c r="B167">
        <f t="shared" si="67"/>
        <v>166000</v>
      </c>
      <c r="C167">
        <f t="shared" si="73"/>
        <v>290</v>
      </c>
      <c r="D167">
        <f t="shared" si="73"/>
        <v>2.5</v>
      </c>
      <c r="E167">
        <f t="shared" si="73"/>
        <v>1.7</v>
      </c>
      <c r="F167">
        <f t="shared" si="73"/>
        <v>48</v>
      </c>
      <c r="G167">
        <f t="shared" si="73"/>
        <v>21</v>
      </c>
      <c r="I167" s="2">
        <f t="shared" si="52"/>
        <v>1406.4893495903329</v>
      </c>
      <c r="J167">
        <f t="shared" si="56"/>
        <v>166000</v>
      </c>
      <c r="K167">
        <f t="shared" si="57"/>
        <v>3300</v>
      </c>
      <c r="L167" s="3">
        <f t="shared" si="58"/>
        <v>5.3720828699999998</v>
      </c>
      <c r="M167" s="3">
        <f t="shared" si="59"/>
        <v>53.720828699999998</v>
      </c>
      <c r="N167" s="2">
        <f t="shared" si="60"/>
        <v>1134.3393495903329</v>
      </c>
      <c r="Q167" s="1">
        <f t="shared" si="53"/>
        <v>166</v>
      </c>
      <c r="R167">
        <f t="shared" si="54"/>
        <v>166000</v>
      </c>
      <c r="S167">
        <f t="shared" si="72"/>
        <v>290</v>
      </c>
      <c r="T167">
        <f t="shared" si="72"/>
        <v>2.5</v>
      </c>
      <c r="U167">
        <f t="shared" si="72"/>
        <v>1.7</v>
      </c>
      <c r="V167">
        <f t="shared" si="72"/>
        <v>47</v>
      </c>
      <c r="W167">
        <f t="shared" si="72"/>
        <v>22</v>
      </c>
      <c r="Y167" s="2">
        <f t="shared" si="55"/>
        <v>1256.3860577827259</v>
      </c>
      <c r="Z167">
        <f t="shared" si="61"/>
        <v>166000</v>
      </c>
      <c r="AA167">
        <f t="shared" si="62"/>
        <v>3300</v>
      </c>
      <c r="AB167" s="3">
        <f t="shared" si="63"/>
        <v>5.3720828699999998</v>
      </c>
      <c r="AC167" s="4">
        <f t="shared" si="64"/>
        <v>53.720828699999998</v>
      </c>
      <c r="AD167" s="2">
        <f t="shared" si="65"/>
        <v>984.23605778272588</v>
      </c>
      <c r="AE167" s="3">
        <f t="shared" si="66"/>
        <v>166</v>
      </c>
    </row>
    <row r="168" spans="1:31" x14ac:dyDescent="0.3">
      <c r="A168">
        <f t="shared" si="50"/>
        <v>167</v>
      </c>
      <c r="B168">
        <f t="shared" si="67"/>
        <v>167000</v>
      </c>
      <c r="C168">
        <f t="shared" si="73"/>
        <v>290</v>
      </c>
      <c r="D168">
        <f t="shared" si="73"/>
        <v>2.5</v>
      </c>
      <c r="E168">
        <f t="shared" si="73"/>
        <v>1.7</v>
      </c>
      <c r="F168">
        <f t="shared" si="73"/>
        <v>48</v>
      </c>
      <c r="G168">
        <f t="shared" si="73"/>
        <v>21</v>
      </c>
      <c r="I168" s="2">
        <f t="shared" si="52"/>
        <v>1411.4144951713315</v>
      </c>
      <c r="J168">
        <f t="shared" si="56"/>
        <v>167000</v>
      </c>
      <c r="K168">
        <f t="shared" si="57"/>
        <v>3300</v>
      </c>
      <c r="L168" s="3">
        <f t="shared" si="58"/>
        <v>5.4044448149999997</v>
      </c>
      <c r="M168" s="3">
        <f t="shared" si="59"/>
        <v>54.044448149999994</v>
      </c>
      <c r="N168" s="2">
        <f t="shared" si="60"/>
        <v>1139.2644951713314</v>
      </c>
      <c r="Q168" s="1">
        <f t="shared" si="53"/>
        <v>167</v>
      </c>
      <c r="R168">
        <f t="shared" si="54"/>
        <v>167000</v>
      </c>
      <c r="S168">
        <f t="shared" si="72"/>
        <v>290</v>
      </c>
      <c r="T168">
        <f t="shared" si="72"/>
        <v>2.5</v>
      </c>
      <c r="U168">
        <f t="shared" si="72"/>
        <v>1.7</v>
      </c>
      <c r="V168">
        <f t="shared" si="72"/>
        <v>47</v>
      </c>
      <c r="W168">
        <f t="shared" si="72"/>
        <v>22</v>
      </c>
      <c r="Y168" s="2">
        <f t="shared" si="55"/>
        <v>1260.233787246726</v>
      </c>
      <c r="Z168">
        <f t="shared" si="61"/>
        <v>167000</v>
      </c>
      <c r="AA168">
        <f t="shared" si="62"/>
        <v>3300</v>
      </c>
      <c r="AB168" s="3">
        <f t="shared" si="63"/>
        <v>5.4044448149999997</v>
      </c>
      <c r="AC168" s="4">
        <f t="shared" si="64"/>
        <v>54.044448149999994</v>
      </c>
      <c r="AD168" s="2">
        <f t="shared" si="65"/>
        <v>988.08378724672605</v>
      </c>
      <c r="AE168" s="3">
        <f t="shared" si="66"/>
        <v>167</v>
      </c>
    </row>
    <row r="169" spans="1:31" x14ac:dyDescent="0.3">
      <c r="A169">
        <f t="shared" si="50"/>
        <v>168</v>
      </c>
      <c r="B169">
        <f t="shared" si="67"/>
        <v>168000</v>
      </c>
      <c r="C169">
        <f t="shared" si="73"/>
        <v>290</v>
      </c>
      <c r="D169">
        <f t="shared" si="73"/>
        <v>2.5</v>
      </c>
      <c r="E169">
        <f t="shared" si="73"/>
        <v>1.7</v>
      </c>
      <c r="F169">
        <f t="shared" si="73"/>
        <v>48</v>
      </c>
      <c r="G169">
        <f t="shared" si="73"/>
        <v>21</v>
      </c>
      <c r="I169" s="2">
        <f t="shared" si="52"/>
        <v>1416.3394014671444</v>
      </c>
      <c r="J169">
        <f t="shared" si="56"/>
        <v>168000</v>
      </c>
      <c r="K169">
        <f t="shared" si="57"/>
        <v>3300</v>
      </c>
      <c r="L169" s="3">
        <f t="shared" si="58"/>
        <v>5.4368067599999996</v>
      </c>
      <c r="M169" s="3">
        <f t="shared" si="59"/>
        <v>54.368067599999996</v>
      </c>
      <c r="N169" s="2">
        <f t="shared" si="60"/>
        <v>1144.1894014671443</v>
      </c>
      <c r="Q169" s="1">
        <f t="shared" si="53"/>
        <v>168</v>
      </c>
      <c r="R169">
        <f t="shared" si="54"/>
        <v>168000</v>
      </c>
      <c r="S169">
        <f t="shared" si="72"/>
        <v>290</v>
      </c>
      <c r="T169">
        <f t="shared" si="72"/>
        <v>2.5</v>
      </c>
      <c r="U169">
        <f t="shared" si="72"/>
        <v>1.7</v>
      </c>
      <c r="V169">
        <f t="shared" si="72"/>
        <v>47</v>
      </c>
      <c r="W169">
        <f t="shared" si="72"/>
        <v>22</v>
      </c>
      <c r="Y169" s="2">
        <f t="shared" si="55"/>
        <v>1264.0811732368152</v>
      </c>
      <c r="Z169">
        <f t="shared" si="61"/>
        <v>168000</v>
      </c>
      <c r="AA169">
        <f t="shared" si="62"/>
        <v>3300</v>
      </c>
      <c r="AB169" s="3">
        <f t="shared" si="63"/>
        <v>5.4368067599999996</v>
      </c>
      <c r="AC169" s="4">
        <f t="shared" si="64"/>
        <v>54.368067599999996</v>
      </c>
      <c r="AD169" s="2">
        <f t="shared" si="65"/>
        <v>991.9311732368152</v>
      </c>
      <c r="AE169" s="3">
        <f t="shared" si="66"/>
        <v>168</v>
      </c>
    </row>
    <row r="170" spans="1:31" x14ac:dyDescent="0.3">
      <c r="A170">
        <f t="shared" si="50"/>
        <v>169</v>
      </c>
      <c r="B170">
        <f t="shared" si="67"/>
        <v>169000</v>
      </c>
      <c r="C170">
        <f t="shared" si="73"/>
        <v>290</v>
      </c>
      <c r="D170">
        <f t="shared" si="73"/>
        <v>2.5</v>
      </c>
      <c r="E170">
        <f t="shared" si="73"/>
        <v>1.7</v>
      </c>
      <c r="F170">
        <f t="shared" si="73"/>
        <v>48</v>
      </c>
      <c r="G170">
        <f t="shared" si="73"/>
        <v>21</v>
      </c>
      <c r="I170" s="2">
        <f t="shared" si="52"/>
        <v>1421.2640796052615</v>
      </c>
      <c r="J170">
        <f t="shared" si="56"/>
        <v>169000</v>
      </c>
      <c r="K170">
        <f t="shared" si="57"/>
        <v>3300</v>
      </c>
      <c r="L170" s="3">
        <f t="shared" si="58"/>
        <v>5.4691687050000004</v>
      </c>
      <c r="M170" s="3">
        <f t="shared" si="59"/>
        <v>54.691687050000006</v>
      </c>
      <c r="N170" s="2">
        <f t="shared" si="60"/>
        <v>1149.1140796052614</v>
      </c>
      <c r="Q170" s="1">
        <f t="shared" si="53"/>
        <v>169</v>
      </c>
      <c r="R170">
        <f t="shared" si="54"/>
        <v>169000</v>
      </c>
      <c r="S170">
        <f t="shared" si="72"/>
        <v>290</v>
      </c>
      <c r="T170">
        <f t="shared" si="72"/>
        <v>2.5</v>
      </c>
      <c r="U170">
        <f t="shared" si="72"/>
        <v>1.7</v>
      </c>
      <c r="V170">
        <f t="shared" si="72"/>
        <v>47</v>
      </c>
      <c r="W170">
        <f t="shared" si="72"/>
        <v>22</v>
      </c>
      <c r="Y170" s="2">
        <f t="shared" si="55"/>
        <v>1267.9282310159306</v>
      </c>
      <c r="Z170">
        <f t="shared" si="61"/>
        <v>169000</v>
      </c>
      <c r="AA170">
        <f t="shared" si="62"/>
        <v>3300</v>
      </c>
      <c r="AB170" s="3">
        <f t="shared" si="63"/>
        <v>5.4691687050000004</v>
      </c>
      <c r="AC170" s="4">
        <f t="shared" si="64"/>
        <v>54.691687050000006</v>
      </c>
      <c r="AD170" s="2">
        <f t="shared" si="65"/>
        <v>995.7782310159306</v>
      </c>
      <c r="AE170" s="3">
        <f t="shared" si="66"/>
        <v>169</v>
      </c>
    </row>
    <row r="171" spans="1:31" x14ac:dyDescent="0.3">
      <c r="A171">
        <f t="shared" si="50"/>
        <v>170</v>
      </c>
      <c r="B171">
        <f t="shared" si="67"/>
        <v>170000</v>
      </c>
      <c r="C171">
        <f t="shared" si="73"/>
        <v>290</v>
      </c>
      <c r="D171">
        <f t="shared" si="73"/>
        <v>2.5</v>
      </c>
      <c r="E171">
        <f t="shared" si="73"/>
        <v>1.7</v>
      </c>
      <c r="F171">
        <f t="shared" si="73"/>
        <v>48</v>
      </c>
      <c r="G171">
        <f t="shared" si="73"/>
        <v>21</v>
      </c>
      <c r="I171" s="2">
        <f t="shared" si="52"/>
        <v>1426.1885401957106</v>
      </c>
      <c r="J171">
        <f t="shared" si="56"/>
        <v>170000</v>
      </c>
      <c r="K171">
        <f t="shared" si="57"/>
        <v>3300</v>
      </c>
      <c r="L171" s="3">
        <f t="shared" si="58"/>
        <v>5.5015306500000003</v>
      </c>
      <c r="M171" s="3">
        <f t="shared" si="59"/>
        <v>55.015306500000001</v>
      </c>
      <c r="N171" s="2">
        <f t="shared" si="60"/>
        <v>1154.0385401957105</v>
      </c>
      <c r="Q171" s="1">
        <f t="shared" si="53"/>
        <v>170</v>
      </c>
      <c r="R171">
        <f t="shared" si="54"/>
        <v>170000</v>
      </c>
      <c r="S171">
        <f t="shared" si="72"/>
        <v>290</v>
      </c>
      <c r="T171">
        <f t="shared" si="72"/>
        <v>2.5</v>
      </c>
      <c r="U171">
        <f t="shared" si="72"/>
        <v>1.7</v>
      </c>
      <c r="V171">
        <f t="shared" si="72"/>
        <v>47</v>
      </c>
      <c r="W171">
        <f t="shared" si="72"/>
        <v>22</v>
      </c>
      <c r="Y171" s="2">
        <f t="shared" si="55"/>
        <v>1271.7749751687707</v>
      </c>
      <c r="Z171">
        <f t="shared" si="61"/>
        <v>170000</v>
      </c>
      <c r="AA171">
        <f t="shared" si="62"/>
        <v>3300</v>
      </c>
      <c r="AB171" s="3">
        <f t="shared" si="63"/>
        <v>5.5015306500000003</v>
      </c>
      <c r="AC171" s="4">
        <f t="shared" si="64"/>
        <v>55.015306500000001</v>
      </c>
      <c r="AD171" s="2">
        <f t="shared" si="65"/>
        <v>999.62497516877067</v>
      </c>
      <c r="AE171" s="3">
        <f t="shared" si="66"/>
        <v>170</v>
      </c>
    </row>
    <row r="172" spans="1:31" x14ac:dyDescent="0.3">
      <c r="A172">
        <f t="shared" si="50"/>
        <v>171</v>
      </c>
      <c r="B172">
        <f t="shared" si="67"/>
        <v>171000</v>
      </c>
      <c r="C172">
        <f t="shared" si="73"/>
        <v>290</v>
      </c>
      <c r="D172">
        <f t="shared" si="73"/>
        <v>2.5</v>
      </c>
      <c r="E172">
        <f t="shared" si="73"/>
        <v>1.7</v>
      </c>
      <c r="F172">
        <f t="shared" si="73"/>
        <v>48</v>
      </c>
      <c r="G172">
        <f t="shared" si="73"/>
        <v>21</v>
      </c>
      <c r="I172" s="2">
        <f t="shared" si="52"/>
        <v>1431.1127933551202</v>
      </c>
      <c r="J172">
        <f t="shared" si="56"/>
        <v>171000</v>
      </c>
      <c r="K172">
        <f t="shared" si="57"/>
        <v>3300</v>
      </c>
      <c r="L172" s="3">
        <f t="shared" si="58"/>
        <v>5.5338925950000002</v>
      </c>
      <c r="M172" s="3">
        <f t="shared" si="59"/>
        <v>55.338925950000004</v>
      </c>
      <c r="N172" s="2">
        <f t="shared" si="60"/>
        <v>1158.9627933551201</v>
      </c>
      <c r="Q172" s="1">
        <f t="shared" si="53"/>
        <v>171</v>
      </c>
      <c r="R172">
        <f t="shared" si="54"/>
        <v>171000</v>
      </c>
      <c r="S172">
        <f t="shared" si="72"/>
        <v>290</v>
      </c>
      <c r="T172">
        <f t="shared" si="72"/>
        <v>2.5</v>
      </c>
      <c r="U172">
        <f t="shared" si="72"/>
        <v>1.7</v>
      </c>
      <c r="V172">
        <f t="shared" si="72"/>
        <v>47</v>
      </c>
      <c r="W172">
        <f t="shared" si="72"/>
        <v>22</v>
      </c>
      <c r="Y172" s="2">
        <f t="shared" si="55"/>
        <v>1275.621419631937</v>
      </c>
      <c r="Z172">
        <f t="shared" si="61"/>
        <v>171000</v>
      </c>
      <c r="AA172">
        <f t="shared" si="62"/>
        <v>3300</v>
      </c>
      <c r="AB172" s="3">
        <f t="shared" si="63"/>
        <v>5.5338925950000002</v>
      </c>
      <c r="AC172" s="4">
        <f t="shared" si="64"/>
        <v>55.338925950000004</v>
      </c>
      <c r="AD172" s="2">
        <f t="shared" si="65"/>
        <v>1003.471419631937</v>
      </c>
      <c r="AE172" s="3">
        <f t="shared" si="66"/>
        <v>171</v>
      </c>
    </row>
    <row r="173" spans="1:31" x14ac:dyDescent="0.3">
      <c r="A173">
        <f t="shared" si="50"/>
        <v>172</v>
      </c>
      <c r="B173">
        <f t="shared" si="67"/>
        <v>172000</v>
      </c>
      <c r="C173">
        <f t="shared" si="73"/>
        <v>290</v>
      </c>
      <c r="D173">
        <f t="shared" si="73"/>
        <v>2.5</v>
      </c>
      <c r="E173">
        <f t="shared" si="73"/>
        <v>1.7</v>
      </c>
      <c r="F173">
        <f t="shared" si="73"/>
        <v>48</v>
      </c>
      <c r="G173">
        <f t="shared" si="73"/>
        <v>21</v>
      </c>
      <c r="I173" s="2">
        <f t="shared" si="52"/>
        <v>1436.0368487296664</v>
      </c>
      <c r="J173">
        <f t="shared" si="56"/>
        <v>172000</v>
      </c>
      <c r="K173">
        <f t="shared" si="57"/>
        <v>3300</v>
      </c>
      <c r="L173" s="3">
        <f t="shared" si="58"/>
        <v>5.5662545400000001</v>
      </c>
      <c r="M173" s="3">
        <f t="shared" si="59"/>
        <v>55.662545399999999</v>
      </c>
      <c r="N173" s="2">
        <f t="shared" si="60"/>
        <v>1163.8868487296663</v>
      </c>
      <c r="Q173" s="1">
        <f t="shared" si="53"/>
        <v>172</v>
      </c>
      <c r="R173">
        <f t="shared" si="54"/>
        <v>172000</v>
      </c>
      <c r="S173">
        <f t="shared" si="72"/>
        <v>290</v>
      </c>
      <c r="T173">
        <f t="shared" si="72"/>
        <v>2.5</v>
      </c>
      <c r="U173">
        <f t="shared" si="72"/>
        <v>1.7</v>
      </c>
      <c r="V173">
        <f t="shared" si="72"/>
        <v>47</v>
      </c>
      <c r="W173">
        <f t="shared" si="72"/>
        <v>22</v>
      </c>
      <c r="Y173" s="2">
        <f t="shared" si="55"/>
        <v>1279.4675777227258</v>
      </c>
      <c r="Z173">
        <f t="shared" si="61"/>
        <v>172000</v>
      </c>
      <c r="AA173">
        <f t="shared" si="62"/>
        <v>3300</v>
      </c>
      <c r="AB173" s="3">
        <f t="shared" si="63"/>
        <v>5.5662545400000001</v>
      </c>
      <c r="AC173" s="4">
        <f t="shared" si="64"/>
        <v>55.662545399999999</v>
      </c>
      <c r="AD173" s="2">
        <f t="shared" si="65"/>
        <v>1007.3175777227258</v>
      </c>
      <c r="AE173" s="3">
        <f t="shared" si="66"/>
        <v>172</v>
      </c>
    </row>
    <row r="174" spans="1:31" x14ac:dyDescent="0.3">
      <c r="A174">
        <f t="shared" si="50"/>
        <v>173</v>
      </c>
      <c r="B174">
        <f t="shared" si="67"/>
        <v>173000</v>
      </c>
      <c r="C174">
        <f t="shared" si="73"/>
        <v>290</v>
      </c>
      <c r="D174">
        <f t="shared" si="73"/>
        <v>2.5</v>
      </c>
      <c r="E174">
        <f t="shared" si="73"/>
        <v>1.7</v>
      </c>
      <c r="F174">
        <f t="shared" si="73"/>
        <v>48</v>
      </c>
      <c r="G174">
        <f t="shared" si="73"/>
        <v>21</v>
      </c>
      <c r="I174" s="2">
        <f t="shared" si="52"/>
        <v>1440.960715516946</v>
      </c>
      <c r="J174">
        <f t="shared" si="56"/>
        <v>173000</v>
      </c>
      <c r="K174">
        <f t="shared" si="57"/>
        <v>3300</v>
      </c>
      <c r="L174" s="3">
        <f t="shared" si="58"/>
        <v>5.598616485</v>
      </c>
      <c r="M174" s="3">
        <f t="shared" si="59"/>
        <v>55.986164850000002</v>
      </c>
      <c r="N174" s="2">
        <f t="shared" si="60"/>
        <v>1168.8107155169459</v>
      </c>
      <c r="Q174" s="1">
        <f t="shared" si="53"/>
        <v>173</v>
      </c>
      <c r="R174">
        <f t="shared" si="54"/>
        <v>173000</v>
      </c>
      <c r="S174">
        <f t="shared" si="72"/>
        <v>290</v>
      </c>
      <c r="T174">
        <f t="shared" si="72"/>
        <v>2.5</v>
      </c>
      <c r="U174">
        <f t="shared" si="72"/>
        <v>1.7</v>
      </c>
      <c r="V174">
        <f t="shared" si="72"/>
        <v>47</v>
      </c>
      <c r="W174">
        <f t="shared" si="72"/>
        <v>22</v>
      </c>
      <c r="Y174" s="2">
        <f t="shared" si="55"/>
        <v>1283.3134621666586</v>
      </c>
      <c r="Z174">
        <f t="shared" si="61"/>
        <v>173000</v>
      </c>
      <c r="AA174">
        <f t="shared" si="62"/>
        <v>3300</v>
      </c>
      <c r="AB174" s="3">
        <f t="shared" si="63"/>
        <v>5.598616485</v>
      </c>
      <c r="AC174" s="4">
        <f t="shared" si="64"/>
        <v>55.986164850000002</v>
      </c>
      <c r="AD174" s="2">
        <f t="shared" si="65"/>
        <v>1011.1634621666586</v>
      </c>
      <c r="AE174" s="3">
        <f t="shared" si="66"/>
        <v>173</v>
      </c>
    </row>
    <row r="175" spans="1:31" x14ac:dyDescent="0.3">
      <c r="A175">
        <f t="shared" si="50"/>
        <v>174</v>
      </c>
      <c r="B175">
        <f t="shared" si="67"/>
        <v>174000</v>
      </c>
      <c r="C175">
        <f t="shared" si="73"/>
        <v>290</v>
      </c>
      <c r="D175">
        <f t="shared" si="73"/>
        <v>2.5</v>
      </c>
      <c r="E175">
        <f t="shared" si="73"/>
        <v>1.7</v>
      </c>
      <c r="F175">
        <f t="shared" si="73"/>
        <v>48</v>
      </c>
      <c r="G175">
        <f t="shared" si="73"/>
        <v>21</v>
      </c>
      <c r="I175" s="2">
        <f t="shared" si="52"/>
        <v>1445.8844024868417</v>
      </c>
      <c r="J175">
        <f>B175</f>
        <v>174000</v>
      </c>
      <c r="K175">
        <f t="shared" si="57"/>
        <v>3300</v>
      </c>
      <c r="L175" s="3">
        <f>9.80665*K175*J175/1000000000</f>
        <v>5.6309784299999999</v>
      </c>
      <c r="M175" s="3">
        <f>L175*10</f>
        <v>56.309784299999997</v>
      </c>
      <c r="N175" s="2">
        <f t="shared" si="60"/>
        <v>1173.7344024868416</v>
      </c>
      <c r="Q175" s="1">
        <f t="shared" si="53"/>
        <v>174</v>
      </c>
      <c r="R175">
        <f t="shared" si="54"/>
        <v>174000</v>
      </c>
      <c r="S175">
        <f t="shared" si="72"/>
        <v>290</v>
      </c>
      <c r="T175">
        <f t="shared" si="72"/>
        <v>2.5</v>
      </c>
      <c r="U175">
        <f t="shared" si="72"/>
        <v>1.7</v>
      </c>
      <c r="V175">
        <f t="shared" si="72"/>
        <v>47</v>
      </c>
      <c r="W175">
        <f t="shared" si="72"/>
        <v>22</v>
      </c>
      <c r="Y175" s="2">
        <f t="shared" si="55"/>
        <v>1287.1590851237697</v>
      </c>
      <c r="Z175">
        <f>R175</f>
        <v>174000</v>
      </c>
      <c r="AA175">
        <f t="shared" si="62"/>
        <v>3300</v>
      </c>
      <c r="AB175" s="3">
        <f>9.80665*AA175*Z175/1000000000</f>
        <v>5.6309784299999999</v>
      </c>
      <c r="AC175" s="4">
        <f>AB175*10</f>
        <v>56.309784299999997</v>
      </c>
      <c r="AD175" s="2">
        <f t="shared" si="65"/>
        <v>1015.0090851237698</v>
      </c>
      <c r="AE175" s="3">
        <f t="shared" si="66"/>
        <v>174</v>
      </c>
    </row>
    <row r="176" spans="1:31" x14ac:dyDescent="0.3">
      <c r="A176">
        <f t="shared" si="50"/>
        <v>175</v>
      </c>
      <c r="B176">
        <f t="shared" si="67"/>
        <v>175000</v>
      </c>
      <c r="C176">
        <f t="shared" si="73"/>
        <v>290</v>
      </c>
      <c r="D176">
        <f t="shared" si="73"/>
        <v>2.5</v>
      </c>
      <c r="E176">
        <f t="shared" si="73"/>
        <v>1.7</v>
      </c>
      <c r="F176">
        <f t="shared" si="73"/>
        <v>48</v>
      </c>
      <c r="G176">
        <f t="shared" si="73"/>
        <v>21</v>
      </c>
      <c r="I176" s="2">
        <f t="shared" si="52"/>
        <v>1450.8079180014111</v>
      </c>
      <c r="J176">
        <f t="shared" si="56"/>
        <v>175000</v>
      </c>
      <c r="K176">
        <f t="shared" si="57"/>
        <v>3300</v>
      </c>
      <c r="L176" s="3">
        <f t="shared" si="58"/>
        <v>5.6633403749999998</v>
      </c>
      <c r="M176" s="3">
        <f t="shared" si="59"/>
        <v>56.633403749999999</v>
      </c>
      <c r="N176" s="2">
        <f t="shared" si="60"/>
        <v>1178.657918001411</v>
      </c>
      <c r="Q176" s="1">
        <f t="shared" si="53"/>
        <v>175</v>
      </c>
      <c r="R176">
        <f t="shared" si="54"/>
        <v>175000</v>
      </c>
      <c r="S176">
        <f t="shared" si="72"/>
        <v>290</v>
      </c>
      <c r="T176">
        <f t="shared" si="72"/>
        <v>2.5</v>
      </c>
      <c r="U176">
        <f t="shared" si="72"/>
        <v>1.7</v>
      </c>
      <c r="V176">
        <f t="shared" si="72"/>
        <v>47</v>
      </c>
      <c r="W176">
        <f t="shared" si="72"/>
        <v>22</v>
      </c>
      <c r="Y176" s="2">
        <f t="shared" si="55"/>
        <v>1291.0044582137393</v>
      </c>
      <c r="Z176">
        <f t="shared" ref="Z176:Z205" si="74">R176</f>
        <v>175000</v>
      </c>
      <c r="AA176">
        <f t="shared" si="62"/>
        <v>3300</v>
      </c>
      <c r="AB176" s="3">
        <f t="shared" ref="AB176:AB203" si="75">9.80665*AA176*Z176/1000000000</f>
        <v>5.6633403749999998</v>
      </c>
      <c r="AC176" s="4">
        <f t="shared" ref="AC176:AC205" si="76">AB176*10</f>
        <v>56.633403749999999</v>
      </c>
      <c r="AD176" s="2">
        <f t="shared" si="65"/>
        <v>1018.8544582137393</v>
      </c>
      <c r="AE176" s="3">
        <f t="shared" si="66"/>
        <v>175</v>
      </c>
    </row>
    <row r="177" spans="1:31" x14ac:dyDescent="0.3">
      <c r="A177">
        <f t="shared" si="50"/>
        <v>176</v>
      </c>
      <c r="B177">
        <f t="shared" si="67"/>
        <v>176000</v>
      </c>
      <c r="C177">
        <f t="shared" si="73"/>
        <v>290</v>
      </c>
      <c r="D177">
        <f t="shared" si="73"/>
        <v>2.5</v>
      </c>
      <c r="E177">
        <f t="shared" si="73"/>
        <v>1.7</v>
      </c>
      <c r="F177">
        <f t="shared" si="73"/>
        <v>48</v>
      </c>
      <c r="G177">
        <f t="shared" si="73"/>
        <v>21</v>
      </c>
      <c r="I177" s="2">
        <f t="shared" si="52"/>
        <v>1455.7312700338471</v>
      </c>
      <c r="J177">
        <f t="shared" si="56"/>
        <v>176000</v>
      </c>
      <c r="K177">
        <f t="shared" si="57"/>
        <v>3300</v>
      </c>
      <c r="L177" s="3">
        <f t="shared" si="58"/>
        <v>5.6957023199999997</v>
      </c>
      <c r="M177" s="3">
        <f t="shared" si="59"/>
        <v>56.957023199999995</v>
      </c>
      <c r="N177" s="2">
        <f t="shared" si="60"/>
        <v>1183.581270033847</v>
      </c>
      <c r="Q177" s="1">
        <f t="shared" si="53"/>
        <v>176</v>
      </c>
      <c r="R177">
        <f t="shared" si="54"/>
        <v>176000</v>
      </c>
      <c r="S177">
        <f t="shared" si="72"/>
        <v>290</v>
      </c>
      <c r="T177">
        <f t="shared" si="72"/>
        <v>2.5</v>
      </c>
      <c r="U177">
        <f t="shared" si="72"/>
        <v>1.7</v>
      </c>
      <c r="V177">
        <f t="shared" si="72"/>
        <v>47</v>
      </c>
      <c r="W177">
        <f t="shared" si="72"/>
        <v>22</v>
      </c>
      <c r="Y177" s="2">
        <f t="shared" si="55"/>
        <v>1294.8495925399047</v>
      </c>
      <c r="Z177">
        <f t="shared" si="74"/>
        <v>176000</v>
      </c>
      <c r="AA177">
        <f t="shared" si="62"/>
        <v>3300</v>
      </c>
      <c r="AB177" s="3">
        <f t="shared" si="75"/>
        <v>5.6957023199999997</v>
      </c>
      <c r="AC177" s="4">
        <f t="shared" si="76"/>
        <v>56.957023199999995</v>
      </c>
      <c r="AD177" s="2">
        <f t="shared" si="65"/>
        <v>1022.6995925399048</v>
      </c>
      <c r="AE177" s="3">
        <f t="shared" si="66"/>
        <v>176</v>
      </c>
    </row>
    <row r="178" spans="1:31" x14ac:dyDescent="0.3">
      <c r="A178">
        <f t="shared" si="50"/>
        <v>177</v>
      </c>
      <c r="B178">
        <f t="shared" si="67"/>
        <v>177000</v>
      </c>
      <c r="C178">
        <f t="shared" si="73"/>
        <v>290</v>
      </c>
      <c r="D178">
        <f t="shared" si="73"/>
        <v>2.5</v>
      </c>
      <c r="E178">
        <f t="shared" si="73"/>
        <v>1.7</v>
      </c>
      <c r="F178">
        <f t="shared" si="73"/>
        <v>48</v>
      </c>
      <c r="G178">
        <f t="shared" si="73"/>
        <v>21</v>
      </c>
      <c r="I178" s="2">
        <f t="shared" si="52"/>
        <v>1460.6544661865678</v>
      </c>
      <c r="J178">
        <f t="shared" si="56"/>
        <v>177000</v>
      </c>
      <c r="K178">
        <f t="shared" si="57"/>
        <v>3300</v>
      </c>
      <c r="L178" s="3">
        <f t="shared" si="58"/>
        <v>5.7280642650000004</v>
      </c>
      <c r="M178" s="3">
        <f t="shared" si="59"/>
        <v>57.280642650000004</v>
      </c>
      <c r="N178" s="2">
        <f t="shared" si="60"/>
        <v>1188.5044661865677</v>
      </c>
      <c r="Q178" s="1">
        <f t="shared" si="53"/>
        <v>177</v>
      </c>
      <c r="R178">
        <f t="shared" si="54"/>
        <v>177000</v>
      </c>
      <c r="S178">
        <f t="shared" si="72"/>
        <v>290</v>
      </c>
      <c r="T178">
        <f t="shared" si="72"/>
        <v>2.5</v>
      </c>
      <c r="U178">
        <f t="shared" si="72"/>
        <v>1.7</v>
      </c>
      <c r="V178">
        <f t="shared" si="72"/>
        <v>47</v>
      </c>
      <c r="W178">
        <f t="shared" si="72"/>
        <v>22</v>
      </c>
      <c r="Y178" s="2">
        <f t="shared" si="55"/>
        <v>1298.6944987122047</v>
      </c>
      <c r="Z178">
        <f t="shared" si="74"/>
        <v>177000</v>
      </c>
      <c r="AA178">
        <f t="shared" si="62"/>
        <v>3300</v>
      </c>
      <c r="AB178" s="3">
        <f t="shared" si="75"/>
        <v>5.7280642650000004</v>
      </c>
      <c r="AC178" s="4">
        <f t="shared" si="76"/>
        <v>57.280642650000004</v>
      </c>
      <c r="AD178" s="2">
        <f t="shared" si="65"/>
        <v>1026.5444987122046</v>
      </c>
      <c r="AE178" s="3">
        <f t="shared" si="66"/>
        <v>177</v>
      </c>
    </row>
    <row r="179" spans="1:31" x14ac:dyDescent="0.3">
      <c r="A179">
        <f t="shared" si="50"/>
        <v>178</v>
      </c>
      <c r="B179">
        <f t="shared" si="67"/>
        <v>178000</v>
      </c>
      <c r="C179">
        <f t="shared" si="73"/>
        <v>290</v>
      </c>
      <c r="D179">
        <f t="shared" si="73"/>
        <v>2.5</v>
      </c>
      <c r="E179">
        <f t="shared" si="73"/>
        <v>1.7</v>
      </c>
      <c r="F179">
        <f t="shared" si="73"/>
        <v>48</v>
      </c>
      <c r="G179">
        <f t="shared" si="73"/>
        <v>21</v>
      </c>
      <c r="I179" s="2">
        <f t="shared" si="52"/>
        <v>1465.5775137084534</v>
      </c>
      <c r="J179">
        <f t="shared" si="56"/>
        <v>178000</v>
      </c>
      <c r="K179">
        <f t="shared" si="57"/>
        <v>3300</v>
      </c>
      <c r="L179" s="3">
        <f t="shared" si="58"/>
        <v>5.7604262100000003</v>
      </c>
      <c r="M179" s="3">
        <f t="shared" si="59"/>
        <v>57.6042621</v>
      </c>
      <c r="N179" s="2">
        <f t="shared" si="60"/>
        <v>1193.4275137084533</v>
      </c>
      <c r="Q179" s="1">
        <f t="shared" si="53"/>
        <v>178</v>
      </c>
      <c r="R179">
        <f t="shared" si="54"/>
        <v>178000</v>
      </c>
      <c r="S179">
        <f t="shared" si="72"/>
        <v>290</v>
      </c>
      <c r="T179">
        <f t="shared" si="72"/>
        <v>2.5</v>
      </c>
      <c r="U179">
        <f t="shared" si="72"/>
        <v>1.7</v>
      </c>
      <c r="V179">
        <f t="shared" si="72"/>
        <v>47</v>
      </c>
      <c r="W179">
        <f t="shared" si="72"/>
        <v>22</v>
      </c>
      <c r="Y179" s="2">
        <f t="shared" si="55"/>
        <v>1302.539186869104</v>
      </c>
      <c r="Z179">
        <f t="shared" si="74"/>
        <v>178000</v>
      </c>
      <c r="AA179">
        <f t="shared" si="62"/>
        <v>3300</v>
      </c>
      <c r="AB179" s="3">
        <f t="shared" si="75"/>
        <v>5.7604262100000003</v>
      </c>
      <c r="AC179" s="4">
        <f t="shared" si="76"/>
        <v>57.6042621</v>
      </c>
      <c r="AD179" s="2">
        <f t="shared" si="65"/>
        <v>1030.3891868691039</v>
      </c>
      <c r="AE179" s="3">
        <f t="shared" si="66"/>
        <v>178</v>
      </c>
    </row>
    <row r="180" spans="1:31" x14ac:dyDescent="0.3">
      <c r="A180">
        <f t="shared" si="50"/>
        <v>179</v>
      </c>
      <c r="B180">
        <f t="shared" si="67"/>
        <v>179000</v>
      </c>
      <c r="C180">
        <f t="shared" si="73"/>
        <v>290</v>
      </c>
      <c r="D180">
        <f t="shared" si="73"/>
        <v>2.5</v>
      </c>
      <c r="E180">
        <f t="shared" si="73"/>
        <v>1.7</v>
      </c>
      <c r="F180">
        <f t="shared" si="73"/>
        <v>48</v>
      </c>
      <c r="G180">
        <f t="shared" si="73"/>
        <v>21</v>
      </c>
      <c r="I180" s="2">
        <f t="shared" si="52"/>
        <v>1470.5004195112915</v>
      </c>
      <c r="J180">
        <f t="shared" si="56"/>
        <v>179000</v>
      </c>
      <c r="K180">
        <f t="shared" si="57"/>
        <v>3300</v>
      </c>
      <c r="L180" s="3">
        <f t="shared" si="58"/>
        <v>5.7927881550000002</v>
      </c>
      <c r="M180" s="3">
        <f t="shared" si="59"/>
        <v>57.927881550000002</v>
      </c>
      <c r="N180" s="2">
        <f t="shared" si="60"/>
        <v>1198.3504195112914</v>
      </c>
      <c r="Q180" s="1">
        <f t="shared" si="53"/>
        <v>179</v>
      </c>
      <c r="R180">
        <f t="shared" si="54"/>
        <v>179000</v>
      </c>
      <c r="S180">
        <f t="shared" ref="S180:W195" si="77">S179</f>
        <v>290</v>
      </c>
      <c r="T180">
        <f t="shared" si="77"/>
        <v>2.5</v>
      </c>
      <c r="U180">
        <f t="shared" si="77"/>
        <v>1.7</v>
      </c>
      <c r="V180">
        <f t="shared" si="77"/>
        <v>47</v>
      </c>
      <c r="W180">
        <f t="shared" si="77"/>
        <v>22</v>
      </c>
      <c r="Y180" s="2">
        <f t="shared" si="55"/>
        <v>1306.3836666985458</v>
      </c>
      <c r="Z180">
        <f t="shared" si="74"/>
        <v>179000</v>
      </c>
      <c r="AA180">
        <f t="shared" si="62"/>
        <v>3300</v>
      </c>
      <c r="AB180" s="3">
        <f t="shared" si="75"/>
        <v>5.7927881550000002</v>
      </c>
      <c r="AC180" s="4">
        <f t="shared" si="76"/>
        <v>57.927881550000002</v>
      </c>
      <c r="AD180" s="2">
        <f t="shared" si="65"/>
        <v>1034.2336666985457</v>
      </c>
      <c r="AE180" s="3">
        <f t="shared" si="66"/>
        <v>179</v>
      </c>
    </row>
    <row r="181" spans="1:31" x14ac:dyDescent="0.3">
      <c r="A181">
        <f t="shared" ref="A181:A205" si="78">A180+1</f>
        <v>180</v>
      </c>
      <c r="B181">
        <f t="shared" si="67"/>
        <v>180000</v>
      </c>
      <c r="C181">
        <f t="shared" ref="C181:G196" si="79">C180</f>
        <v>290</v>
      </c>
      <c r="D181">
        <f t="shared" si="79"/>
        <v>2.5</v>
      </c>
      <c r="E181">
        <f t="shared" si="79"/>
        <v>1.7</v>
      </c>
      <c r="F181">
        <f t="shared" si="79"/>
        <v>48</v>
      </c>
      <c r="G181">
        <f t="shared" si="79"/>
        <v>21</v>
      </c>
      <c r="I181" s="2">
        <f t="shared" ref="I181:I244" si="80">C181+(F181/D181)*A181+(E181*G181^2/D181)*(1-A181/G181-EXP(-A181/G181))</f>
        <v>1475.4231901854491</v>
      </c>
      <c r="J181">
        <f t="shared" si="56"/>
        <v>180000</v>
      </c>
      <c r="K181">
        <f t="shared" si="57"/>
        <v>3300</v>
      </c>
      <c r="L181" s="3">
        <f t="shared" si="58"/>
        <v>5.8251501000000001</v>
      </c>
      <c r="M181" s="3">
        <f t="shared" si="59"/>
        <v>58.251501000000005</v>
      </c>
      <c r="N181" s="2">
        <f t="shared" si="60"/>
        <v>1203.273190185449</v>
      </c>
      <c r="P181">
        <f>0.3236*100+3*10^(-14)</f>
        <v>32.360000000000028</v>
      </c>
      <c r="Q181" s="1">
        <f t="shared" ref="Q181:Q205" si="81">Q180+1</f>
        <v>180</v>
      </c>
      <c r="R181">
        <f t="shared" ref="R181:R205" si="82">Q181*1000</f>
        <v>180000</v>
      </c>
      <c r="S181">
        <f t="shared" si="77"/>
        <v>290</v>
      </c>
      <c r="T181">
        <f t="shared" si="77"/>
        <v>2.5</v>
      </c>
      <c r="U181">
        <f t="shared" si="77"/>
        <v>1.7</v>
      </c>
      <c r="V181">
        <f t="shared" si="77"/>
        <v>47</v>
      </c>
      <c r="W181">
        <f t="shared" si="77"/>
        <v>22</v>
      </c>
      <c r="Y181" s="2">
        <f t="shared" ref="Y181:Y205" si="83">S181+(V181/T181)*Q181+(U181*W181^2/T181)*(1-Q181/W181-EXP(-Q181/W181))</f>
        <v>1310.2279474579682</v>
      </c>
      <c r="Z181">
        <f t="shared" si="74"/>
        <v>180000</v>
      </c>
      <c r="AA181">
        <f t="shared" si="62"/>
        <v>3300</v>
      </c>
      <c r="AB181" s="3">
        <f t="shared" si="75"/>
        <v>5.8251501000000001</v>
      </c>
      <c r="AC181" s="4">
        <f t="shared" si="76"/>
        <v>58.251501000000005</v>
      </c>
      <c r="AD181" s="2">
        <f t="shared" si="65"/>
        <v>1038.0779474579681</v>
      </c>
      <c r="AE181" s="3">
        <f t="shared" si="66"/>
        <v>180</v>
      </c>
    </row>
    <row r="182" spans="1:31" x14ac:dyDescent="0.3">
      <c r="A182">
        <f t="shared" si="78"/>
        <v>181</v>
      </c>
      <c r="B182">
        <f t="shared" si="67"/>
        <v>181000</v>
      </c>
      <c r="C182">
        <f t="shared" si="79"/>
        <v>290</v>
      </c>
      <c r="D182">
        <f t="shared" si="79"/>
        <v>2.5</v>
      </c>
      <c r="E182">
        <f t="shared" si="79"/>
        <v>1.7</v>
      </c>
      <c r="F182">
        <f t="shared" si="79"/>
        <v>48</v>
      </c>
      <c r="G182">
        <f t="shared" si="79"/>
        <v>21</v>
      </c>
      <c r="I182" s="2">
        <f t="shared" si="80"/>
        <v>1480.3458320148211</v>
      </c>
      <c r="J182">
        <f t="shared" si="56"/>
        <v>181000</v>
      </c>
      <c r="K182">
        <f t="shared" si="57"/>
        <v>3300</v>
      </c>
      <c r="L182" s="3">
        <f t="shared" si="58"/>
        <v>5.857512045</v>
      </c>
      <c r="M182" s="3">
        <f t="shared" si="59"/>
        <v>58.57512045</v>
      </c>
      <c r="N182" s="2">
        <f t="shared" si="60"/>
        <v>1208.195832014821</v>
      </c>
      <c r="P182">
        <f>3.09*40-2*10^(-13)</f>
        <v>123.5999999999998</v>
      </c>
      <c r="Q182" s="1">
        <f t="shared" si="81"/>
        <v>181</v>
      </c>
      <c r="R182">
        <f t="shared" si="82"/>
        <v>181000</v>
      </c>
      <c r="S182">
        <f t="shared" si="77"/>
        <v>290</v>
      </c>
      <c r="T182">
        <f t="shared" si="77"/>
        <v>2.5</v>
      </c>
      <c r="U182">
        <f t="shared" si="77"/>
        <v>1.7</v>
      </c>
      <c r="V182">
        <f t="shared" si="77"/>
        <v>47</v>
      </c>
      <c r="W182">
        <f t="shared" si="77"/>
        <v>22</v>
      </c>
      <c r="Y182" s="2">
        <f t="shared" si="83"/>
        <v>1314.0720379934405</v>
      </c>
      <c r="Z182">
        <f t="shared" si="74"/>
        <v>181000</v>
      </c>
      <c r="AA182">
        <f t="shared" si="62"/>
        <v>3300</v>
      </c>
      <c r="AB182" s="3">
        <f t="shared" si="75"/>
        <v>5.857512045</v>
      </c>
      <c r="AC182" s="4">
        <f t="shared" si="76"/>
        <v>58.57512045</v>
      </c>
      <c r="AD182" s="2">
        <f t="shared" si="65"/>
        <v>1041.9220379934404</v>
      </c>
      <c r="AE182" s="3">
        <f t="shared" si="66"/>
        <v>181</v>
      </c>
    </row>
    <row r="183" spans="1:31" x14ac:dyDescent="0.3">
      <c r="A183">
        <f t="shared" si="78"/>
        <v>182</v>
      </c>
      <c r="B183">
        <f t="shared" si="67"/>
        <v>182000</v>
      </c>
      <c r="C183">
        <f t="shared" si="79"/>
        <v>290</v>
      </c>
      <c r="D183">
        <f t="shared" si="79"/>
        <v>2.5</v>
      </c>
      <c r="E183">
        <f t="shared" si="79"/>
        <v>1.7</v>
      </c>
      <c r="F183">
        <f t="shared" si="79"/>
        <v>48</v>
      </c>
      <c r="G183">
        <f t="shared" si="79"/>
        <v>21</v>
      </c>
      <c r="I183" s="2">
        <f t="shared" si="80"/>
        <v>1485.2683509910826</v>
      </c>
      <c r="J183">
        <f t="shared" si="56"/>
        <v>182000</v>
      </c>
      <c r="K183">
        <f t="shared" si="57"/>
        <v>3300</v>
      </c>
      <c r="L183" s="3">
        <f t="shared" si="58"/>
        <v>5.8898739899999999</v>
      </c>
      <c r="M183" s="3">
        <f t="shared" si="59"/>
        <v>58.898739899999995</v>
      </c>
      <c r="N183" s="2">
        <f t="shared" si="60"/>
        <v>1213.1183509910825</v>
      </c>
      <c r="Q183" s="1">
        <f t="shared" si="81"/>
        <v>182</v>
      </c>
      <c r="R183">
        <f t="shared" si="82"/>
        <v>182000</v>
      </c>
      <c r="S183">
        <f t="shared" si="77"/>
        <v>290</v>
      </c>
      <c r="T183">
        <f t="shared" si="77"/>
        <v>2.5</v>
      </c>
      <c r="U183">
        <f t="shared" si="77"/>
        <v>1.7</v>
      </c>
      <c r="V183">
        <f t="shared" si="77"/>
        <v>47</v>
      </c>
      <c r="W183">
        <f t="shared" si="77"/>
        <v>22</v>
      </c>
      <c r="Y183" s="2">
        <f t="shared" si="83"/>
        <v>1317.9159467579348</v>
      </c>
      <c r="Z183">
        <f t="shared" si="74"/>
        <v>182000</v>
      </c>
      <c r="AA183">
        <f t="shared" si="62"/>
        <v>3300</v>
      </c>
      <c r="AB183" s="3">
        <f t="shared" si="75"/>
        <v>5.8898739899999999</v>
      </c>
      <c r="AC183" s="4">
        <f t="shared" si="76"/>
        <v>58.898739899999995</v>
      </c>
      <c r="AD183" s="2">
        <f t="shared" si="65"/>
        <v>1045.7659467579347</v>
      </c>
      <c r="AE183" s="3">
        <f t="shared" si="66"/>
        <v>182</v>
      </c>
    </row>
    <row r="184" spans="1:31" x14ac:dyDescent="0.3">
      <c r="A184">
        <f t="shared" si="78"/>
        <v>183</v>
      </c>
      <c r="B184">
        <f t="shared" si="67"/>
        <v>183000</v>
      </c>
      <c r="C184">
        <f t="shared" si="79"/>
        <v>290</v>
      </c>
      <c r="D184">
        <f t="shared" si="79"/>
        <v>2.5</v>
      </c>
      <c r="E184">
        <f t="shared" si="79"/>
        <v>1.7</v>
      </c>
      <c r="F184">
        <f t="shared" si="79"/>
        <v>48</v>
      </c>
      <c r="G184">
        <f t="shared" si="79"/>
        <v>21</v>
      </c>
      <c r="I184" s="2">
        <f t="shared" si="80"/>
        <v>1490.1907528272773</v>
      </c>
      <c r="J184">
        <f t="shared" si="56"/>
        <v>183000</v>
      </c>
      <c r="K184">
        <f t="shared" si="57"/>
        <v>3300</v>
      </c>
      <c r="L184" s="3">
        <f t="shared" si="58"/>
        <v>5.9222359349999998</v>
      </c>
      <c r="M184" s="3">
        <f t="shared" si="59"/>
        <v>59.222359349999998</v>
      </c>
      <c r="N184" s="2">
        <f t="shared" si="60"/>
        <v>1218.0407528272772</v>
      </c>
      <c r="Q184" s="1">
        <f t="shared" si="81"/>
        <v>183</v>
      </c>
      <c r="R184">
        <f t="shared" si="82"/>
        <v>183000</v>
      </c>
      <c r="S184">
        <f t="shared" si="77"/>
        <v>290</v>
      </c>
      <c r="T184">
        <f t="shared" si="77"/>
        <v>2.5</v>
      </c>
      <c r="U184">
        <f t="shared" si="77"/>
        <v>1.7</v>
      </c>
      <c r="V184">
        <f t="shared" si="77"/>
        <v>47</v>
      </c>
      <c r="W184">
        <f t="shared" si="77"/>
        <v>22</v>
      </c>
      <c r="Y184" s="2">
        <f t="shared" si="83"/>
        <v>1321.7596818288043</v>
      </c>
      <c r="Z184">
        <f t="shared" si="74"/>
        <v>183000</v>
      </c>
      <c r="AA184">
        <f t="shared" si="62"/>
        <v>3300</v>
      </c>
      <c r="AB184" s="3">
        <f t="shared" si="75"/>
        <v>5.9222359349999998</v>
      </c>
      <c r="AC184" s="4">
        <f t="shared" si="76"/>
        <v>59.222359349999998</v>
      </c>
      <c r="AD184" s="2">
        <f t="shared" si="65"/>
        <v>1049.6096818288042</v>
      </c>
      <c r="AE184" s="3">
        <f t="shared" si="66"/>
        <v>183</v>
      </c>
    </row>
    <row r="185" spans="1:31" x14ac:dyDescent="0.3">
      <c r="A185">
        <f t="shared" si="78"/>
        <v>184</v>
      </c>
      <c r="B185">
        <f t="shared" si="67"/>
        <v>184000</v>
      </c>
      <c r="C185">
        <f t="shared" si="79"/>
        <v>290</v>
      </c>
      <c r="D185">
        <f t="shared" si="79"/>
        <v>2.5</v>
      </c>
      <c r="E185">
        <f t="shared" si="79"/>
        <v>1.7</v>
      </c>
      <c r="F185">
        <f t="shared" si="79"/>
        <v>48</v>
      </c>
      <c r="G185">
        <f t="shared" si="79"/>
        <v>21</v>
      </c>
      <c r="I185" s="2">
        <f t="shared" si="80"/>
        <v>1495.1130429707737</v>
      </c>
      <c r="J185">
        <f t="shared" si="56"/>
        <v>184000</v>
      </c>
      <c r="K185">
        <f t="shared" si="57"/>
        <v>3300</v>
      </c>
      <c r="L185" s="3">
        <f t="shared" si="58"/>
        <v>5.9545978799999997</v>
      </c>
      <c r="M185" s="3">
        <f t="shared" si="59"/>
        <v>59.5459788</v>
      </c>
      <c r="N185" s="2">
        <f t="shared" si="60"/>
        <v>1222.9630429707736</v>
      </c>
      <c r="Q185" s="1">
        <f t="shared" si="81"/>
        <v>184</v>
      </c>
      <c r="R185">
        <f t="shared" si="82"/>
        <v>184000</v>
      </c>
      <c r="S185">
        <f t="shared" si="77"/>
        <v>290</v>
      </c>
      <c r="T185">
        <f t="shared" si="77"/>
        <v>2.5</v>
      </c>
      <c r="U185">
        <f t="shared" si="77"/>
        <v>1.7</v>
      </c>
      <c r="V185">
        <f t="shared" si="77"/>
        <v>47</v>
      </c>
      <c r="W185">
        <f t="shared" si="77"/>
        <v>22</v>
      </c>
      <c r="Y185" s="2">
        <f t="shared" si="83"/>
        <v>1325.6032509244651</v>
      </c>
      <c r="Z185">
        <f t="shared" si="74"/>
        <v>184000</v>
      </c>
      <c r="AA185">
        <f t="shared" si="62"/>
        <v>3300</v>
      </c>
      <c r="AB185" s="3">
        <f t="shared" si="75"/>
        <v>5.9545978799999997</v>
      </c>
      <c r="AC185" s="4">
        <f t="shared" si="76"/>
        <v>59.5459788</v>
      </c>
      <c r="AD185" s="2">
        <f t="shared" si="65"/>
        <v>1053.453250924465</v>
      </c>
      <c r="AE185" s="3">
        <f t="shared" si="66"/>
        <v>184</v>
      </c>
    </row>
    <row r="186" spans="1:31" x14ac:dyDescent="0.3">
      <c r="A186">
        <f t="shared" si="78"/>
        <v>185</v>
      </c>
      <c r="B186">
        <f t="shared" si="67"/>
        <v>185000</v>
      </c>
      <c r="C186">
        <f t="shared" si="79"/>
        <v>290</v>
      </c>
      <c r="D186">
        <f t="shared" si="79"/>
        <v>2.5</v>
      </c>
      <c r="E186">
        <f t="shared" si="79"/>
        <v>1.7</v>
      </c>
      <c r="F186">
        <f t="shared" si="79"/>
        <v>48</v>
      </c>
      <c r="G186">
        <f t="shared" si="79"/>
        <v>21</v>
      </c>
      <c r="I186" s="2">
        <f t="shared" si="80"/>
        <v>1500.0352266156251</v>
      </c>
      <c r="J186">
        <f t="shared" si="56"/>
        <v>185000</v>
      </c>
      <c r="K186">
        <f t="shared" si="57"/>
        <v>3300</v>
      </c>
      <c r="L186" s="3">
        <f t="shared" si="58"/>
        <v>5.9869598249999996</v>
      </c>
      <c r="M186" s="3">
        <f t="shared" si="59"/>
        <v>59.869598249999996</v>
      </c>
      <c r="N186" s="2">
        <f t="shared" si="60"/>
        <v>1227.885226615625</v>
      </c>
      <c r="Q186" s="1">
        <f t="shared" si="81"/>
        <v>185</v>
      </c>
      <c r="R186">
        <f t="shared" si="82"/>
        <v>185000</v>
      </c>
      <c r="S186">
        <f t="shared" si="77"/>
        <v>290</v>
      </c>
      <c r="T186">
        <f t="shared" si="77"/>
        <v>2.5</v>
      </c>
      <c r="U186">
        <f t="shared" si="77"/>
        <v>1.7</v>
      </c>
      <c r="V186">
        <f t="shared" si="77"/>
        <v>47</v>
      </c>
      <c r="W186">
        <f t="shared" si="77"/>
        <v>22</v>
      </c>
      <c r="Y186" s="2">
        <f t="shared" si="83"/>
        <v>1329.4466614203511</v>
      </c>
      <c r="Z186">
        <f t="shared" si="74"/>
        <v>185000</v>
      </c>
      <c r="AA186">
        <f t="shared" si="62"/>
        <v>3300</v>
      </c>
      <c r="AB186" s="3">
        <f t="shared" si="75"/>
        <v>5.9869598249999996</v>
      </c>
      <c r="AC186" s="4">
        <f t="shared" si="76"/>
        <v>59.869598249999996</v>
      </c>
      <c r="AD186" s="2">
        <f t="shared" si="65"/>
        <v>1057.296661420351</v>
      </c>
      <c r="AE186" s="3">
        <f t="shared" si="66"/>
        <v>185</v>
      </c>
    </row>
    <row r="187" spans="1:31" x14ac:dyDescent="0.3">
      <c r="A187">
        <f t="shared" si="78"/>
        <v>186</v>
      </c>
      <c r="B187">
        <f t="shared" si="67"/>
        <v>186000</v>
      </c>
      <c r="C187">
        <f t="shared" si="79"/>
        <v>290</v>
      </c>
      <c r="D187">
        <f t="shared" si="79"/>
        <v>2.5</v>
      </c>
      <c r="E187">
        <f t="shared" si="79"/>
        <v>1.7</v>
      </c>
      <c r="F187">
        <f t="shared" si="79"/>
        <v>48</v>
      </c>
      <c r="G187">
        <f t="shared" si="79"/>
        <v>21</v>
      </c>
      <c r="I187" s="2">
        <f t="shared" si="80"/>
        <v>1504.9573087143408</v>
      </c>
      <c r="J187">
        <f t="shared" si="56"/>
        <v>186000</v>
      </c>
      <c r="K187">
        <f t="shared" si="57"/>
        <v>3300</v>
      </c>
      <c r="L187" s="3">
        <f t="shared" si="58"/>
        <v>6.0193217700000003</v>
      </c>
      <c r="M187" s="3">
        <f t="shared" si="59"/>
        <v>60.193217700000005</v>
      </c>
      <c r="N187" s="2">
        <f t="shared" si="60"/>
        <v>1232.8073087143407</v>
      </c>
      <c r="Q187" s="1">
        <f t="shared" si="81"/>
        <v>186</v>
      </c>
      <c r="R187">
        <f t="shared" si="82"/>
        <v>186000</v>
      </c>
      <c r="S187">
        <f t="shared" si="77"/>
        <v>290</v>
      </c>
      <c r="T187">
        <f t="shared" si="77"/>
        <v>2.5</v>
      </c>
      <c r="U187">
        <f t="shared" si="77"/>
        <v>1.7</v>
      </c>
      <c r="V187">
        <f t="shared" si="77"/>
        <v>47</v>
      </c>
      <c r="W187">
        <f t="shared" si="77"/>
        <v>22</v>
      </c>
      <c r="Y187" s="2">
        <f t="shared" si="83"/>
        <v>1333.2899203641546</v>
      </c>
      <c r="Z187">
        <f t="shared" si="74"/>
        <v>186000</v>
      </c>
      <c r="AA187">
        <f t="shared" si="62"/>
        <v>3300</v>
      </c>
      <c r="AB187" s="3">
        <f t="shared" si="75"/>
        <v>6.0193217700000003</v>
      </c>
      <c r="AC187" s="4">
        <f t="shared" si="76"/>
        <v>60.193217700000005</v>
      </c>
      <c r="AD187" s="2">
        <f t="shared" si="65"/>
        <v>1061.1399203641545</v>
      </c>
      <c r="AE187" s="3">
        <f t="shared" si="66"/>
        <v>186</v>
      </c>
    </row>
    <row r="188" spans="1:31" x14ac:dyDescent="0.3">
      <c r="A188">
        <f t="shared" si="78"/>
        <v>187</v>
      </c>
      <c r="B188">
        <f t="shared" si="67"/>
        <v>187000</v>
      </c>
      <c r="C188">
        <f t="shared" si="79"/>
        <v>290</v>
      </c>
      <c r="D188">
        <f t="shared" si="79"/>
        <v>2.5</v>
      </c>
      <c r="E188">
        <f t="shared" si="79"/>
        <v>1.7</v>
      </c>
      <c r="F188">
        <f t="shared" si="79"/>
        <v>48</v>
      </c>
      <c r="G188">
        <f t="shared" si="79"/>
        <v>21</v>
      </c>
      <c r="I188" s="2">
        <f t="shared" si="80"/>
        <v>1509.8792939891264</v>
      </c>
      <c r="J188">
        <f t="shared" si="56"/>
        <v>187000</v>
      </c>
      <c r="K188">
        <f t="shared" si="57"/>
        <v>3300</v>
      </c>
      <c r="L188" s="3">
        <f t="shared" si="58"/>
        <v>6.0516837150000002</v>
      </c>
      <c r="M188" s="3">
        <f t="shared" si="59"/>
        <v>60.516837150000001</v>
      </c>
      <c r="N188" s="2">
        <f t="shared" si="60"/>
        <v>1237.7292939891263</v>
      </c>
      <c r="Q188" s="1">
        <f t="shared" si="81"/>
        <v>187</v>
      </c>
      <c r="R188">
        <f t="shared" si="82"/>
        <v>187000</v>
      </c>
      <c r="S188">
        <f t="shared" si="77"/>
        <v>290</v>
      </c>
      <c r="T188">
        <f t="shared" si="77"/>
        <v>2.5</v>
      </c>
      <c r="U188">
        <f t="shared" si="77"/>
        <v>1.7</v>
      </c>
      <c r="V188">
        <f t="shared" si="77"/>
        <v>47</v>
      </c>
      <c r="W188">
        <f t="shared" si="77"/>
        <v>22</v>
      </c>
      <c r="Y188" s="2">
        <f t="shared" si="83"/>
        <v>1337.1330344903909</v>
      </c>
      <c r="Z188">
        <f t="shared" si="74"/>
        <v>187000</v>
      </c>
      <c r="AA188">
        <f t="shared" si="62"/>
        <v>3300</v>
      </c>
      <c r="AB188" s="3">
        <f t="shared" si="75"/>
        <v>6.0516837150000002</v>
      </c>
      <c r="AC188" s="4">
        <f t="shared" si="76"/>
        <v>60.516837150000001</v>
      </c>
      <c r="AD188" s="2">
        <f t="shared" si="65"/>
        <v>1064.9830344903908</v>
      </c>
      <c r="AE188" s="3">
        <f t="shared" si="66"/>
        <v>187</v>
      </c>
    </row>
    <row r="189" spans="1:31" x14ac:dyDescent="0.3">
      <c r="A189">
        <f t="shared" si="78"/>
        <v>188</v>
      </c>
      <c r="B189">
        <f t="shared" si="67"/>
        <v>188000</v>
      </c>
      <c r="C189">
        <f t="shared" si="79"/>
        <v>290</v>
      </c>
      <c r="D189">
        <f t="shared" si="79"/>
        <v>2.5</v>
      </c>
      <c r="E189">
        <f t="shared" si="79"/>
        <v>1.7</v>
      </c>
      <c r="F189">
        <f t="shared" si="79"/>
        <v>48</v>
      </c>
      <c r="G189">
        <f t="shared" si="79"/>
        <v>21</v>
      </c>
      <c r="I189" s="2">
        <f t="shared" si="80"/>
        <v>1514.8011869425886</v>
      </c>
      <c r="J189">
        <f t="shared" si="56"/>
        <v>188000</v>
      </c>
      <c r="K189">
        <f t="shared" si="57"/>
        <v>3300</v>
      </c>
      <c r="L189" s="3">
        <f t="shared" si="58"/>
        <v>6.0840456600000001</v>
      </c>
      <c r="M189" s="3">
        <f t="shared" si="59"/>
        <v>60.840456600000003</v>
      </c>
      <c r="N189" s="2">
        <f t="shared" si="60"/>
        <v>1242.6511869425885</v>
      </c>
      <c r="Q189" s="1">
        <f t="shared" si="81"/>
        <v>188</v>
      </c>
      <c r="R189">
        <f t="shared" si="82"/>
        <v>188000</v>
      </c>
      <c r="S189">
        <f t="shared" si="77"/>
        <v>290</v>
      </c>
      <c r="T189">
        <f t="shared" si="77"/>
        <v>2.5</v>
      </c>
      <c r="U189">
        <f t="shared" si="77"/>
        <v>1.7</v>
      </c>
      <c r="V189">
        <f t="shared" si="77"/>
        <v>47</v>
      </c>
      <c r="W189">
        <f t="shared" si="77"/>
        <v>22</v>
      </c>
      <c r="Y189" s="2">
        <f t="shared" si="83"/>
        <v>1340.976010234313</v>
      </c>
      <c r="Z189">
        <f t="shared" si="74"/>
        <v>188000</v>
      </c>
      <c r="AA189">
        <f t="shared" si="62"/>
        <v>3300</v>
      </c>
      <c r="AB189" s="3">
        <f t="shared" si="75"/>
        <v>6.0840456600000001</v>
      </c>
      <c r="AC189" s="4">
        <f t="shared" si="76"/>
        <v>60.840456600000003</v>
      </c>
      <c r="AD189" s="2">
        <f t="shared" si="65"/>
        <v>1068.8260102343129</v>
      </c>
      <c r="AE189" s="3">
        <f t="shared" si="66"/>
        <v>188</v>
      </c>
    </row>
    <row r="190" spans="1:31" x14ac:dyDescent="0.3">
      <c r="A190">
        <f t="shared" si="78"/>
        <v>189</v>
      </c>
      <c r="B190">
        <f t="shared" si="67"/>
        <v>189000</v>
      </c>
      <c r="C190">
        <f t="shared" si="79"/>
        <v>290</v>
      </c>
      <c r="D190">
        <f t="shared" si="79"/>
        <v>2.5</v>
      </c>
      <c r="E190">
        <f t="shared" si="79"/>
        <v>1.7</v>
      </c>
      <c r="F190">
        <f t="shared" si="79"/>
        <v>48</v>
      </c>
      <c r="G190">
        <f t="shared" si="79"/>
        <v>21</v>
      </c>
      <c r="I190" s="2">
        <f t="shared" si="80"/>
        <v>1519.7229918679504</v>
      </c>
      <c r="J190">
        <f t="shared" si="56"/>
        <v>189000</v>
      </c>
      <c r="K190">
        <f t="shared" si="57"/>
        <v>3300</v>
      </c>
      <c r="L190" s="3">
        <f t="shared" si="58"/>
        <v>6.116407605</v>
      </c>
      <c r="M190" s="3">
        <f t="shared" si="59"/>
        <v>61.164076049999998</v>
      </c>
      <c r="N190" s="2">
        <f t="shared" si="60"/>
        <v>1247.5729918679503</v>
      </c>
      <c r="Q190" s="1">
        <f t="shared" si="81"/>
        <v>189</v>
      </c>
      <c r="R190">
        <f t="shared" si="82"/>
        <v>189000</v>
      </c>
      <c r="S190">
        <f t="shared" si="77"/>
        <v>290</v>
      </c>
      <c r="T190">
        <f t="shared" si="77"/>
        <v>2.5</v>
      </c>
      <c r="U190">
        <f t="shared" si="77"/>
        <v>1.7</v>
      </c>
      <c r="V190">
        <f t="shared" si="77"/>
        <v>47</v>
      </c>
      <c r="W190">
        <f t="shared" si="77"/>
        <v>22</v>
      </c>
      <c r="Y190" s="2">
        <f t="shared" si="83"/>
        <v>1344.8188537452097</v>
      </c>
      <c r="Z190">
        <f t="shared" si="74"/>
        <v>189000</v>
      </c>
      <c r="AA190">
        <f t="shared" si="62"/>
        <v>3300</v>
      </c>
      <c r="AB190" s="3">
        <f t="shared" si="75"/>
        <v>6.116407605</v>
      </c>
      <c r="AC190" s="4">
        <f t="shared" si="76"/>
        <v>61.164076049999998</v>
      </c>
      <c r="AD190" s="2">
        <f t="shared" si="65"/>
        <v>1072.6688537452096</v>
      </c>
      <c r="AE190" s="3">
        <f t="shared" si="66"/>
        <v>189</v>
      </c>
    </row>
    <row r="191" spans="1:31" x14ac:dyDescent="0.3">
      <c r="A191">
        <f t="shared" si="78"/>
        <v>190</v>
      </c>
      <c r="B191">
        <f t="shared" si="67"/>
        <v>190000</v>
      </c>
      <c r="C191">
        <f t="shared" si="79"/>
        <v>290</v>
      </c>
      <c r="D191">
        <f t="shared" si="79"/>
        <v>2.5</v>
      </c>
      <c r="E191">
        <f t="shared" si="79"/>
        <v>1.7</v>
      </c>
      <c r="F191">
        <f t="shared" si="79"/>
        <v>48</v>
      </c>
      <c r="G191">
        <f t="shared" si="79"/>
        <v>21</v>
      </c>
      <c r="I191" s="2">
        <f t="shared" si="80"/>
        <v>1524.6447128587865</v>
      </c>
      <c r="J191">
        <f t="shared" si="56"/>
        <v>190000</v>
      </c>
      <c r="K191">
        <f t="shared" si="57"/>
        <v>3300</v>
      </c>
      <c r="L191" s="3">
        <f t="shared" si="58"/>
        <v>6.1487695499999999</v>
      </c>
      <c r="M191" s="3">
        <f t="shared" si="59"/>
        <v>61.487695500000001</v>
      </c>
      <c r="N191" s="2">
        <f t="shared" si="60"/>
        <v>1252.4947128587864</v>
      </c>
      <c r="Q191" s="1">
        <f t="shared" si="81"/>
        <v>190</v>
      </c>
      <c r="R191">
        <f t="shared" si="82"/>
        <v>190000</v>
      </c>
      <c r="S191">
        <f t="shared" si="77"/>
        <v>290</v>
      </c>
      <c r="T191">
        <f t="shared" si="77"/>
        <v>2.5</v>
      </c>
      <c r="U191">
        <f t="shared" si="77"/>
        <v>1.7</v>
      </c>
      <c r="V191">
        <f t="shared" si="77"/>
        <v>47</v>
      </c>
      <c r="W191">
        <f t="shared" si="77"/>
        <v>22</v>
      </c>
      <c r="Y191" s="2">
        <f t="shared" si="83"/>
        <v>1348.6615708991162</v>
      </c>
      <c r="Z191">
        <f t="shared" si="74"/>
        <v>190000</v>
      </c>
      <c r="AA191">
        <f t="shared" si="62"/>
        <v>3300</v>
      </c>
      <c r="AB191" s="3">
        <f t="shared" si="75"/>
        <v>6.1487695499999999</v>
      </c>
      <c r="AC191" s="4">
        <f t="shared" si="76"/>
        <v>61.487695500000001</v>
      </c>
      <c r="AD191" s="2">
        <f t="shared" si="65"/>
        <v>1076.5115708991161</v>
      </c>
      <c r="AE191" s="3">
        <f t="shared" si="66"/>
        <v>190</v>
      </c>
    </row>
    <row r="192" spans="1:31" x14ac:dyDescent="0.3">
      <c r="A192">
        <f t="shared" si="78"/>
        <v>191</v>
      </c>
      <c r="B192">
        <f t="shared" si="67"/>
        <v>191000</v>
      </c>
      <c r="C192">
        <f t="shared" si="79"/>
        <v>290</v>
      </c>
      <c r="D192">
        <f t="shared" si="79"/>
        <v>2.5</v>
      </c>
      <c r="E192">
        <f t="shared" si="79"/>
        <v>1.7</v>
      </c>
      <c r="F192">
        <f t="shared" si="79"/>
        <v>48</v>
      </c>
      <c r="G192">
        <f t="shared" si="79"/>
        <v>21</v>
      </c>
      <c r="I192" s="2">
        <f t="shared" si="80"/>
        <v>1529.5663538183085</v>
      </c>
      <c r="J192">
        <f t="shared" si="56"/>
        <v>191000</v>
      </c>
      <c r="K192">
        <f t="shared" si="57"/>
        <v>3300</v>
      </c>
      <c r="L192" s="3">
        <f t="shared" si="58"/>
        <v>6.1811314949999998</v>
      </c>
      <c r="M192" s="3">
        <f t="shared" si="59"/>
        <v>61.811314949999996</v>
      </c>
      <c r="N192" s="2">
        <f t="shared" si="60"/>
        <v>1257.4163538183084</v>
      </c>
      <c r="Q192" s="1">
        <f t="shared" si="81"/>
        <v>191</v>
      </c>
      <c r="R192">
        <f t="shared" si="82"/>
        <v>191000</v>
      </c>
      <c r="S192">
        <f t="shared" si="77"/>
        <v>290</v>
      </c>
      <c r="T192">
        <f t="shared" si="77"/>
        <v>2.5</v>
      </c>
      <c r="U192">
        <f t="shared" si="77"/>
        <v>1.7</v>
      </c>
      <c r="V192">
        <f t="shared" si="77"/>
        <v>47</v>
      </c>
      <c r="W192">
        <f t="shared" si="77"/>
        <v>22</v>
      </c>
      <c r="Y192" s="2">
        <f t="shared" si="83"/>
        <v>1352.5041673109536</v>
      </c>
      <c r="Z192">
        <f t="shared" si="74"/>
        <v>191000</v>
      </c>
      <c r="AA192">
        <f t="shared" si="62"/>
        <v>3300</v>
      </c>
      <c r="AB192" s="3">
        <f t="shared" si="75"/>
        <v>6.1811314949999998</v>
      </c>
      <c r="AC192" s="4">
        <f t="shared" si="76"/>
        <v>61.811314949999996</v>
      </c>
      <c r="AD192" s="2">
        <f t="shared" si="65"/>
        <v>1080.3541673109535</v>
      </c>
      <c r="AE192" s="3">
        <f t="shared" si="66"/>
        <v>191</v>
      </c>
    </row>
    <row r="193" spans="1:31" x14ac:dyDescent="0.3">
      <c r="A193">
        <f t="shared" si="78"/>
        <v>192</v>
      </c>
      <c r="B193">
        <f t="shared" si="67"/>
        <v>192000</v>
      </c>
      <c r="C193">
        <f t="shared" si="79"/>
        <v>290</v>
      </c>
      <c r="D193">
        <f t="shared" si="79"/>
        <v>2.5</v>
      </c>
      <c r="E193">
        <f t="shared" si="79"/>
        <v>1.7</v>
      </c>
      <c r="F193">
        <f t="shared" si="79"/>
        <v>48</v>
      </c>
      <c r="G193">
        <f t="shared" si="79"/>
        <v>21</v>
      </c>
      <c r="I193" s="2">
        <f t="shared" si="80"/>
        <v>1534.487918468215</v>
      </c>
      <c r="J193">
        <f t="shared" si="56"/>
        <v>192000</v>
      </c>
      <c r="K193">
        <f t="shared" si="57"/>
        <v>3300</v>
      </c>
      <c r="L193" s="3">
        <f t="shared" si="58"/>
        <v>6.2134934399999997</v>
      </c>
      <c r="M193" s="3">
        <f t="shared" si="59"/>
        <v>62.134934399999999</v>
      </c>
      <c r="N193" s="2">
        <f t="shared" si="60"/>
        <v>1262.3379184682149</v>
      </c>
      <c r="Q193" s="1">
        <f t="shared" si="81"/>
        <v>192</v>
      </c>
      <c r="R193">
        <f t="shared" si="82"/>
        <v>192000</v>
      </c>
      <c r="S193">
        <f t="shared" si="77"/>
        <v>290</v>
      </c>
      <c r="T193">
        <f t="shared" si="77"/>
        <v>2.5</v>
      </c>
      <c r="U193">
        <f t="shared" si="77"/>
        <v>1.7</v>
      </c>
      <c r="V193">
        <f t="shared" si="77"/>
        <v>47</v>
      </c>
      <c r="W193">
        <f t="shared" si="77"/>
        <v>22</v>
      </c>
      <c r="Y193" s="2">
        <f t="shared" si="83"/>
        <v>1356.346648346132</v>
      </c>
      <c r="Z193">
        <f t="shared" si="74"/>
        <v>192000</v>
      </c>
      <c r="AA193">
        <f t="shared" si="62"/>
        <v>3300</v>
      </c>
      <c r="AB193" s="3">
        <f t="shared" si="75"/>
        <v>6.2134934399999997</v>
      </c>
      <c r="AC193" s="4">
        <f t="shared" si="76"/>
        <v>62.134934399999999</v>
      </c>
      <c r="AD193" s="2">
        <f t="shared" si="65"/>
        <v>1084.196648346132</v>
      </c>
      <c r="AE193" s="3">
        <f t="shared" si="66"/>
        <v>192</v>
      </c>
    </row>
    <row r="194" spans="1:31" x14ac:dyDescent="0.3">
      <c r="A194">
        <f t="shared" si="78"/>
        <v>193</v>
      </c>
      <c r="B194">
        <f t="shared" si="67"/>
        <v>193000</v>
      </c>
      <c r="C194">
        <f t="shared" si="79"/>
        <v>290</v>
      </c>
      <c r="D194">
        <f t="shared" si="79"/>
        <v>2.5</v>
      </c>
      <c r="E194">
        <f t="shared" si="79"/>
        <v>1.7</v>
      </c>
      <c r="F194">
        <f t="shared" si="79"/>
        <v>48</v>
      </c>
      <c r="G194">
        <f t="shared" si="79"/>
        <v>21</v>
      </c>
      <c r="I194" s="2">
        <f t="shared" si="80"/>
        <v>1539.4094103571369</v>
      </c>
      <c r="J194">
        <f t="shared" si="56"/>
        <v>193000</v>
      </c>
      <c r="K194">
        <f t="shared" si="57"/>
        <v>3300</v>
      </c>
      <c r="L194" s="3">
        <f t="shared" si="58"/>
        <v>6.2458553849999996</v>
      </c>
      <c r="M194" s="3">
        <f t="shared" si="59"/>
        <v>62.458553849999994</v>
      </c>
      <c r="N194" s="2">
        <f t="shared" si="60"/>
        <v>1267.2594103571369</v>
      </c>
      <c r="Q194" s="1">
        <f t="shared" si="81"/>
        <v>193</v>
      </c>
      <c r="R194">
        <f t="shared" si="82"/>
        <v>193000</v>
      </c>
      <c r="S194">
        <f t="shared" si="77"/>
        <v>290</v>
      </c>
      <c r="T194">
        <f t="shared" si="77"/>
        <v>2.5</v>
      </c>
      <c r="U194">
        <f t="shared" si="77"/>
        <v>1.7</v>
      </c>
      <c r="V194">
        <f t="shared" si="77"/>
        <v>47</v>
      </c>
      <c r="W194">
        <f t="shared" si="77"/>
        <v>22</v>
      </c>
      <c r="Y194" s="2">
        <f t="shared" si="83"/>
        <v>1360.1890191316393</v>
      </c>
      <c r="Z194">
        <f t="shared" si="74"/>
        <v>193000</v>
      </c>
      <c r="AA194">
        <f t="shared" si="62"/>
        <v>3300</v>
      </c>
      <c r="AB194" s="3">
        <f t="shared" si="75"/>
        <v>6.2458553849999996</v>
      </c>
      <c r="AC194" s="4">
        <f t="shared" si="76"/>
        <v>62.458553849999994</v>
      </c>
      <c r="AD194" s="2">
        <f t="shared" si="65"/>
        <v>1088.0390191316392</v>
      </c>
      <c r="AE194" s="3">
        <f t="shared" si="66"/>
        <v>193</v>
      </c>
    </row>
    <row r="195" spans="1:31" x14ac:dyDescent="0.3">
      <c r="A195">
        <f t="shared" si="78"/>
        <v>194</v>
      </c>
      <c r="B195">
        <f t="shared" si="67"/>
        <v>194000</v>
      </c>
      <c r="C195">
        <f t="shared" si="79"/>
        <v>290</v>
      </c>
      <c r="D195">
        <f t="shared" si="79"/>
        <v>2.5</v>
      </c>
      <c r="E195">
        <f t="shared" si="79"/>
        <v>1.7</v>
      </c>
      <c r="F195">
        <f t="shared" si="79"/>
        <v>48</v>
      </c>
      <c r="G195">
        <f t="shared" si="79"/>
        <v>21</v>
      </c>
      <c r="I195" s="2">
        <f t="shared" si="80"/>
        <v>1544.3308328686808</v>
      </c>
      <c r="J195">
        <f t="shared" ref="J195:J205" si="84">B195</f>
        <v>194000</v>
      </c>
      <c r="K195">
        <f t="shared" ref="K195:K205" si="85">IF(J195&lt;36,2830,3300)</f>
        <v>3300</v>
      </c>
      <c r="L195" s="3">
        <f t="shared" ref="L195:L205" si="86">9.80665*K195*J195/1000000000</f>
        <v>6.2782173300000004</v>
      </c>
      <c r="M195" s="3">
        <f t="shared" ref="M195:M205" si="87">L195*10</f>
        <v>62.782173300000004</v>
      </c>
      <c r="N195" s="2">
        <f t="shared" ref="N195:N205" si="88">I195-272.15</f>
        <v>1272.1808328686807</v>
      </c>
      <c r="Q195" s="1">
        <f t="shared" si="81"/>
        <v>194</v>
      </c>
      <c r="R195">
        <f t="shared" si="82"/>
        <v>194000</v>
      </c>
      <c r="S195">
        <f t="shared" si="77"/>
        <v>290</v>
      </c>
      <c r="T195">
        <f t="shared" si="77"/>
        <v>2.5</v>
      </c>
      <c r="U195">
        <f t="shared" si="77"/>
        <v>1.7</v>
      </c>
      <c r="V195">
        <f t="shared" si="77"/>
        <v>47</v>
      </c>
      <c r="W195">
        <f t="shared" si="77"/>
        <v>22</v>
      </c>
      <c r="Y195" s="2">
        <f t="shared" si="83"/>
        <v>1364.0312845666381</v>
      </c>
      <c r="Z195">
        <f t="shared" si="74"/>
        <v>194000</v>
      </c>
      <c r="AA195">
        <f t="shared" ref="AA195:AA205" si="89">IF(Z195&lt;36,2830,3300)</f>
        <v>3300</v>
      </c>
      <c r="AB195" s="3">
        <f t="shared" si="75"/>
        <v>6.2782173300000004</v>
      </c>
      <c r="AC195" s="4">
        <f t="shared" si="76"/>
        <v>62.782173300000004</v>
      </c>
      <c r="AD195" s="2">
        <f t="shared" ref="AD195:AD205" si="90">Y195-272.15</f>
        <v>1091.881284566638</v>
      </c>
      <c r="AE195" s="3">
        <f t="shared" ref="AE195:AE205" si="91">R195/1000</f>
        <v>194</v>
      </c>
    </row>
    <row r="196" spans="1:31" x14ac:dyDescent="0.3">
      <c r="A196">
        <f t="shared" si="78"/>
        <v>195</v>
      </c>
      <c r="B196">
        <f t="shared" ref="B196:B205" si="92">A196*1000</f>
        <v>195000</v>
      </c>
      <c r="C196">
        <f t="shared" si="79"/>
        <v>290</v>
      </c>
      <c r="D196">
        <f t="shared" si="79"/>
        <v>2.5</v>
      </c>
      <c r="E196">
        <f t="shared" si="79"/>
        <v>1.7</v>
      </c>
      <c r="F196">
        <f t="shared" si="79"/>
        <v>48</v>
      </c>
      <c r="G196">
        <f t="shared" si="79"/>
        <v>21</v>
      </c>
      <c r="I196" s="2">
        <f t="shared" si="80"/>
        <v>1549.2521892291056</v>
      </c>
      <c r="J196">
        <f t="shared" si="84"/>
        <v>195000</v>
      </c>
      <c r="K196">
        <f t="shared" si="85"/>
        <v>3300</v>
      </c>
      <c r="L196" s="3">
        <f t="shared" si="86"/>
        <v>6.3105792750000003</v>
      </c>
      <c r="M196" s="3">
        <f t="shared" si="87"/>
        <v>63.105792750000006</v>
      </c>
      <c r="N196" s="2">
        <f t="shared" si="88"/>
        <v>1277.1021892291055</v>
      </c>
      <c r="Q196" s="1">
        <f t="shared" si="81"/>
        <v>195</v>
      </c>
      <c r="R196">
        <f t="shared" si="82"/>
        <v>195000</v>
      </c>
      <c r="S196">
        <f t="shared" ref="S196:W205" si="93">S195</f>
        <v>290</v>
      </c>
      <c r="T196">
        <f t="shared" si="93"/>
        <v>2.5</v>
      </c>
      <c r="U196">
        <f t="shared" si="93"/>
        <v>1.7</v>
      </c>
      <c r="V196">
        <f t="shared" si="93"/>
        <v>47</v>
      </c>
      <c r="W196">
        <f t="shared" si="93"/>
        <v>22</v>
      </c>
      <c r="Y196" s="2">
        <f t="shared" si="83"/>
        <v>1367.8734493325833</v>
      </c>
      <c r="Z196">
        <f t="shared" si="74"/>
        <v>195000</v>
      </c>
      <c r="AA196">
        <f t="shared" si="89"/>
        <v>3300</v>
      </c>
      <c r="AB196" s="3">
        <f t="shared" si="75"/>
        <v>6.3105792750000003</v>
      </c>
      <c r="AC196" s="4">
        <f t="shared" si="76"/>
        <v>63.105792750000006</v>
      </c>
      <c r="AD196" s="2">
        <f t="shared" si="90"/>
        <v>1095.7234493325832</v>
      </c>
      <c r="AE196" s="3">
        <f t="shared" si="91"/>
        <v>195</v>
      </c>
    </row>
    <row r="197" spans="1:31" x14ac:dyDescent="0.3">
      <c r="A197">
        <f t="shared" si="78"/>
        <v>196</v>
      </c>
      <c r="B197">
        <f t="shared" si="92"/>
        <v>196000</v>
      </c>
      <c r="C197">
        <f t="shared" ref="C197:G205" si="94">C196</f>
        <v>290</v>
      </c>
      <c r="D197">
        <f t="shared" si="94"/>
        <v>2.5</v>
      </c>
      <c r="E197">
        <f t="shared" si="94"/>
        <v>1.7</v>
      </c>
      <c r="F197">
        <f t="shared" si="94"/>
        <v>48</v>
      </c>
      <c r="G197">
        <f t="shared" si="94"/>
        <v>21</v>
      </c>
      <c r="I197" s="2">
        <f t="shared" si="80"/>
        <v>1554.1734825146405</v>
      </c>
      <c r="J197">
        <f t="shared" si="84"/>
        <v>196000</v>
      </c>
      <c r="K197">
        <f t="shared" si="85"/>
        <v>3300</v>
      </c>
      <c r="L197" s="3">
        <f t="shared" si="86"/>
        <v>6.3429412200000002</v>
      </c>
      <c r="M197" s="3">
        <f t="shared" si="87"/>
        <v>63.429412200000002</v>
      </c>
      <c r="N197" s="2">
        <f t="shared" si="88"/>
        <v>1282.0234825146404</v>
      </c>
      <c r="Q197" s="1">
        <f t="shared" si="81"/>
        <v>196</v>
      </c>
      <c r="R197">
        <f t="shared" si="82"/>
        <v>196000</v>
      </c>
      <c r="S197">
        <f t="shared" si="93"/>
        <v>290</v>
      </c>
      <c r="T197">
        <f t="shared" si="93"/>
        <v>2.5</v>
      </c>
      <c r="U197">
        <f t="shared" si="93"/>
        <v>1.7</v>
      </c>
      <c r="V197">
        <f t="shared" si="93"/>
        <v>47</v>
      </c>
      <c r="W197">
        <f t="shared" si="93"/>
        <v>22</v>
      </c>
      <c r="Y197" s="2">
        <f t="shared" si="83"/>
        <v>1371.7155179029037</v>
      </c>
      <c r="Z197">
        <f t="shared" si="74"/>
        <v>196000</v>
      </c>
      <c r="AA197">
        <f t="shared" si="89"/>
        <v>3300</v>
      </c>
      <c r="AB197" s="3">
        <f t="shared" si="75"/>
        <v>6.3429412200000002</v>
      </c>
      <c r="AC197" s="4">
        <f t="shared" si="76"/>
        <v>63.429412200000002</v>
      </c>
      <c r="AD197" s="2">
        <f t="shared" si="90"/>
        <v>1099.5655179029036</v>
      </c>
      <c r="AE197" s="3">
        <f t="shared" si="91"/>
        <v>196</v>
      </c>
    </row>
    <row r="198" spans="1:31" x14ac:dyDescent="0.3">
      <c r="A198">
        <f t="shared" si="78"/>
        <v>197</v>
      </c>
      <c r="B198">
        <f t="shared" si="92"/>
        <v>197000</v>
      </c>
      <c r="C198">
        <f t="shared" si="94"/>
        <v>290</v>
      </c>
      <c r="D198">
        <f t="shared" si="94"/>
        <v>2.5</v>
      </c>
      <c r="E198">
        <f t="shared" si="94"/>
        <v>1.7</v>
      </c>
      <c r="F198">
        <f t="shared" si="94"/>
        <v>48</v>
      </c>
      <c r="G198">
        <f t="shared" si="94"/>
        <v>21</v>
      </c>
      <c r="I198" s="2">
        <f t="shared" si="80"/>
        <v>1559.0947156584593</v>
      </c>
      <c r="J198">
        <f t="shared" si="84"/>
        <v>197000</v>
      </c>
      <c r="K198">
        <f t="shared" si="85"/>
        <v>3300</v>
      </c>
      <c r="L198" s="3">
        <f t="shared" si="86"/>
        <v>6.375303165</v>
      </c>
      <c r="M198" s="3">
        <f t="shared" si="87"/>
        <v>63.753031649999997</v>
      </c>
      <c r="N198" s="2">
        <f t="shared" si="88"/>
        <v>1286.9447156584592</v>
      </c>
      <c r="Q198" s="1">
        <f t="shared" si="81"/>
        <v>197</v>
      </c>
      <c r="R198">
        <f t="shared" si="82"/>
        <v>197000</v>
      </c>
      <c r="S198">
        <f t="shared" si="93"/>
        <v>290</v>
      </c>
      <c r="T198">
        <f t="shared" si="93"/>
        <v>2.5</v>
      </c>
      <c r="U198">
        <f t="shared" si="93"/>
        <v>1.7</v>
      </c>
      <c r="V198">
        <f t="shared" si="93"/>
        <v>47</v>
      </c>
      <c r="W198">
        <f t="shared" si="93"/>
        <v>22</v>
      </c>
      <c r="Y198" s="2">
        <f t="shared" si="83"/>
        <v>1375.5574945522385</v>
      </c>
      <c r="Z198">
        <f t="shared" si="74"/>
        <v>197000</v>
      </c>
      <c r="AA198">
        <f t="shared" si="89"/>
        <v>3300</v>
      </c>
      <c r="AB198" s="3">
        <f t="shared" si="75"/>
        <v>6.375303165</v>
      </c>
      <c r="AC198" s="4">
        <f t="shared" si="76"/>
        <v>63.753031649999997</v>
      </c>
      <c r="AD198" s="2">
        <f t="shared" si="90"/>
        <v>1103.4074945522384</v>
      </c>
      <c r="AE198" s="3">
        <f t="shared" si="91"/>
        <v>197</v>
      </c>
    </row>
    <row r="199" spans="1:31" x14ac:dyDescent="0.3">
      <c r="A199">
        <f t="shared" si="78"/>
        <v>198</v>
      </c>
      <c r="B199">
        <f t="shared" si="92"/>
        <v>198000</v>
      </c>
      <c r="C199">
        <f t="shared" si="94"/>
        <v>290</v>
      </c>
      <c r="D199">
        <f t="shared" si="94"/>
        <v>2.5</v>
      </c>
      <c r="E199">
        <f t="shared" si="94"/>
        <v>1.7</v>
      </c>
      <c r="F199">
        <f t="shared" si="94"/>
        <v>48</v>
      </c>
      <c r="G199">
        <f t="shared" si="94"/>
        <v>21</v>
      </c>
      <c r="I199" s="2">
        <f t="shared" si="80"/>
        <v>1564.0158914573367</v>
      </c>
      <c r="J199">
        <f t="shared" si="84"/>
        <v>198000</v>
      </c>
      <c r="K199">
        <f t="shared" si="85"/>
        <v>3300</v>
      </c>
      <c r="L199" s="3">
        <f t="shared" si="86"/>
        <v>6.4076651099999999</v>
      </c>
      <c r="M199" s="3">
        <f t="shared" si="87"/>
        <v>64.076651099999992</v>
      </c>
      <c r="N199" s="2">
        <f t="shared" si="88"/>
        <v>1291.8658914573366</v>
      </c>
      <c r="Q199" s="1">
        <f t="shared" si="81"/>
        <v>198</v>
      </c>
      <c r="R199">
        <f t="shared" si="82"/>
        <v>198000</v>
      </c>
      <c r="S199">
        <f t="shared" si="93"/>
        <v>290</v>
      </c>
      <c r="T199">
        <f t="shared" si="93"/>
        <v>2.5</v>
      </c>
      <c r="U199">
        <f t="shared" si="93"/>
        <v>1.7</v>
      </c>
      <c r="V199">
        <f t="shared" si="93"/>
        <v>47</v>
      </c>
      <c r="W199">
        <f t="shared" si="93"/>
        <v>22</v>
      </c>
      <c r="Y199" s="2">
        <f t="shared" si="83"/>
        <v>1379.3993833652794</v>
      </c>
      <c r="Z199">
        <f t="shared" si="74"/>
        <v>198000</v>
      </c>
      <c r="AA199">
        <f t="shared" si="89"/>
        <v>3300</v>
      </c>
      <c r="AB199" s="3">
        <f t="shared" si="75"/>
        <v>6.4076651099999999</v>
      </c>
      <c r="AC199" s="4">
        <f t="shared" si="76"/>
        <v>64.076651099999992</v>
      </c>
      <c r="AD199" s="2">
        <f t="shared" si="90"/>
        <v>1107.2493833652793</v>
      </c>
      <c r="AE199" s="3">
        <f t="shared" si="91"/>
        <v>198</v>
      </c>
    </row>
    <row r="200" spans="1:31" x14ac:dyDescent="0.3">
      <c r="A200">
        <f t="shared" si="78"/>
        <v>199</v>
      </c>
      <c r="B200">
        <f t="shared" si="92"/>
        <v>199000</v>
      </c>
      <c r="C200">
        <f t="shared" si="94"/>
        <v>290</v>
      </c>
      <c r="D200">
        <f t="shared" si="94"/>
        <v>2.5</v>
      </c>
      <c r="E200">
        <f t="shared" si="94"/>
        <v>1.7</v>
      </c>
      <c r="F200">
        <f t="shared" si="94"/>
        <v>48</v>
      </c>
      <c r="G200">
        <f t="shared" si="94"/>
        <v>21</v>
      </c>
      <c r="I200" s="2">
        <f t="shared" si="80"/>
        <v>1568.9370125779842</v>
      </c>
      <c r="J200">
        <f t="shared" si="84"/>
        <v>199000</v>
      </c>
      <c r="K200">
        <f t="shared" si="85"/>
        <v>3300</v>
      </c>
      <c r="L200" s="3">
        <f t="shared" si="86"/>
        <v>6.4400270549999998</v>
      </c>
      <c r="M200" s="3">
        <f t="shared" si="87"/>
        <v>64.400270550000002</v>
      </c>
      <c r="N200" s="2">
        <f t="shared" si="88"/>
        <v>1296.7870125779841</v>
      </c>
      <c r="Q200" s="1">
        <f t="shared" si="81"/>
        <v>199</v>
      </c>
      <c r="R200">
        <f t="shared" si="82"/>
        <v>199000</v>
      </c>
      <c r="S200">
        <f t="shared" si="93"/>
        <v>290</v>
      </c>
      <c r="T200">
        <f t="shared" si="93"/>
        <v>2.5</v>
      </c>
      <c r="U200">
        <f t="shared" si="93"/>
        <v>1.7</v>
      </c>
      <c r="V200">
        <f t="shared" si="93"/>
        <v>47</v>
      </c>
      <c r="W200">
        <f t="shared" si="93"/>
        <v>22</v>
      </c>
      <c r="Y200" s="2">
        <f t="shared" si="83"/>
        <v>1383.2411882452034</v>
      </c>
      <c r="Z200">
        <f t="shared" si="74"/>
        <v>199000</v>
      </c>
      <c r="AA200">
        <f t="shared" si="89"/>
        <v>3300</v>
      </c>
      <c r="AB200" s="3">
        <f t="shared" si="75"/>
        <v>6.4400270549999998</v>
      </c>
      <c r="AC200" s="4">
        <f t="shared" si="76"/>
        <v>64.400270550000002</v>
      </c>
      <c r="AD200" s="2">
        <f t="shared" si="90"/>
        <v>1111.0911882452033</v>
      </c>
      <c r="AE200" s="3">
        <f t="shared" si="91"/>
        <v>199</v>
      </c>
    </row>
    <row r="201" spans="1:31" x14ac:dyDescent="0.3">
      <c r="A201">
        <f t="shared" si="78"/>
        <v>200</v>
      </c>
      <c r="B201">
        <f t="shared" si="92"/>
        <v>200000</v>
      </c>
      <c r="C201">
        <f t="shared" si="94"/>
        <v>290</v>
      </c>
      <c r="D201">
        <f t="shared" si="94"/>
        <v>2.5</v>
      </c>
      <c r="E201">
        <f t="shared" si="94"/>
        <v>1.7</v>
      </c>
      <c r="F201">
        <f t="shared" si="94"/>
        <v>48</v>
      </c>
      <c r="G201">
        <f t="shared" si="94"/>
        <v>21</v>
      </c>
      <c r="I201" s="2">
        <f t="shared" si="80"/>
        <v>1573.8580815631094</v>
      </c>
      <c r="J201">
        <f t="shared" si="84"/>
        <v>200000</v>
      </c>
      <c r="K201">
        <f t="shared" si="85"/>
        <v>3300</v>
      </c>
      <c r="L201" s="3">
        <f t="shared" si="86"/>
        <v>6.4723889999999997</v>
      </c>
      <c r="M201" s="3">
        <f t="shared" si="87"/>
        <v>64.723889999999997</v>
      </c>
      <c r="N201" s="2">
        <f t="shared" si="88"/>
        <v>1301.7080815631093</v>
      </c>
      <c r="Q201" s="1">
        <f t="shared" si="81"/>
        <v>200</v>
      </c>
      <c r="R201">
        <f t="shared" si="82"/>
        <v>200000</v>
      </c>
      <c r="S201">
        <f t="shared" si="93"/>
        <v>290</v>
      </c>
      <c r="T201">
        <f t="shared" si="93"/>
        <v>2.5</v>
      </c>
      <c r="U201">
        <f t="shared" si="93"/>
        <v>1.7</v>
      </c>
      <c r="V201">
        <f t="shared" si="93"/>
        <v>47</v>
      </c>
      <c r="W201">
        <f t="shared" si="93"/>
        <v>22</v>
      </c>
      <c r="Y201" s="2">
        <f t="shared" si="83"/>
        <v>1387.0829129217432</v>
      </c>
      <c r="Z201">
        <f t="shared" si="74"/>
        <v>200000</v>
      </c>
      <c r="AA201">
        <f t="shared" si="89"/>
        <v>3300</v>
      </c>
      <c r="AB201" s="3">
        <f t="shared" si="75"/>
        <v>6.4723889999999997</v>
      </c>
      <c r="AC201" s="4">
        <f t="shared" si="76"/>
        <v>64.723889999999997</v>
      </c>
      <c r="AD201" s="2">
        <f t="shared" si="90"/>
        <v>1114.9329129217431</v>
      </c>
      <c r="AE201" s="3">
        <f t="shared" si="91"/>
        <v>200</v>
      </c>
    </row>
    <row r="202" spans="1:31" x14ac:dyDescent="0.3">
      <c r="A202">
        <f t="shared" si="78"/>
        <v>201</v>
      </c>
      <c r="B202">
        <f t="shared" si="92"/>
        <v>201000</v>
      </c>
      <c r="C202">
        <f t="shared" si="94"/>
        <v>290</v>
      </c>
      <c r="D202">
        <f t="shared" si="94"/>
        <v>2.5</v>
      </c>
      <c r="E202">
        <f t="shared" si="94"/>
        <v>1.7</v>
      </c>
      <c r="F202">
        <f t="shared" si="94"/>
        <v>48</v>
      </c>
      <c r="G202">
        <f t="shared" si="94"/>
        <v>21</v>
      </c>
      <c r="I202" s="2">
        <f t="shared" si="80"/>
        <v>1578.7791008371701</v>
      </c>
      <c r="J202">
        <f t="shared" si="84"/>
        <v>201000</v>
      </c>
      <c r="K202">
        <f t="shared" si="85"/>
        <v>3300</v>
      </c>
      <c r="L202" s="3">
        <f t="shared" si="86"/>
        <v>6.5047509449999996</v>
      </c>
      <c r="M202" s="3">
        <f t="shared" si="87"/>
        <v>65.047509449999993</v>
      </c>
      <c r="N202" s="2">
        <f t="shared" si="88"/>
        <v>1306.62910083717</v>
      </c>
      <c r="Q202" s="1">
        <f t="shared" si="81"/>
        <v>201</v>
      </c>
      <c r="R202">
        <f t="shared" si="82"/>
        <v>201000</v>
      </c>
      <c r="S202">
        <f t="shared" si="93"/>
        <v>290</v>
      </c>
      <c r="T202">
        <f t="shared" si="93"/>
        <v>2.5</v>
      </c>
      <c r="U202">
        <f t="shared" si="93"/>
        <v>1.7</v>
      </c>
      <c r="V202">
        <f t="shared" si="93"/>
        <v>47</v>
      </c>
      <c r="W202">
        <f t="shared" si="93"/>
        <v>22</v>
      </c>
      <c r="Y202" s="2">
        <f t="shared" si="83"/>
        <v>1390.9245609588947</v>
      </c>
      <c r="Z202">
        <f t="shared" si="74"/>
        <v>201000</v>
      </c>
      <c r="AA202">
        <f t="shared" si="89"/>
        <v>3300</v>
      </c>
      <c r="AB202" s="3">
        <f t="shared" si="75"/>
        <v>6.5047509449999996</v>
      </c>
      <c r="AC202" s="4">
        <f t="shared" si="76"/>
        <v>65.047509449999993</v>
      </c>
      <c r="AD202" s="2">
        <f t="shared" si="90"/>
        <v>1118.7745609588947</v>
      </c>
      <c r="AE202" s="3">
        <f t="shared" si="91"/>
        <v>201</v>
      </c>
    </row>
    <row r="203" spans="1:31" x14ac:dyDescent="0.3">
      <c r="A203">
        <f t="shared" si="78"/>
        <v>202</v>
      </c>
      <c r="B203">
        <f t="shared" si="92"/>
        <v>202000</v>
      </c>
      <c r="C203">
        <f t="shared" si="94"/>
        <v>290</v>
      </c>
      <c r="D203">
        <f t="shared" si="94"/>
        <v>2.5</v>
      </c>
      <c r="E203">
        <f t="shared" si="94"/>
        <v>1.7</v>
      </c>
      <c r="F203">
        <f t="shared" si="94"/>
        <v>48</v>
      </c>
      <c r="G203">
        <f t="shared" si="94"/>
        <v>21</v>
      </c>
      <c r="I203" s="2">
        <f t="shared" si="80"/>
        <v>1583.700072711883</v>
      </c>
      <c r="J203">
        <f t="shared" si="84"/>
        <v>202000</v>
      </c>
      <c r="K203">
        <f t="shared" si="85"/>
        <v>3300</v>
      </c>
      <c r="L203" s="3">
        <f t="shared" si="86"/>
        <v>6.5371128900000004</v>
      </c>
      <c r="M203" s="3">
        <f t="shared" si="87"/>
        <v>65.371128900000002</v>
      </c>
      <c r="N203" s="2">
        <f t="shared" si="88"/>
        <v>1311.5500727118829</v>
      </c>
      <c r="Q203" s="1">
        <f t="shared" si="81"/>
        <v>202</v>
      </c>
      <c r="R203">
        <f t="shared" si="82"/>
        <v>202000</v>
      </c>
      <c r="S203">
        <f t="shared" si="93"/>
        <v>290</v>
      </c>
      <c r="T203">
        <f t="shared" si="93"/>
        <v>2.5</v>
      </c>
      <c r="U203">
        <f t="shared" si="93"/>
        <v>1.7</v>
      </c>
      <c r="V203">
        <f t="shared" si="93"/>
        <v>47</v>
      </c>
      <c r="W203">
        <f t="shared" si="93"/>
        <v>22</v>
      </c>
      <c r="Y203" s="2">
        <f t="shared" si="83"/>
        <v>1394.7661357622792</v>
      </c>
      <c r="Z203">
        <f t="shared" si="74"/>
        <v>202000</v>
      </c>
      <c r="AA203">
        <f t="shared" si="89"/>
        <v>3300</v>
      </c>
      <c r="AB203" s="3">
        <f t="shared" si="75"/>
        <v>6.5371128900000004</v>
      </c>
      <c r="AC203" s="4">
        <f t="shared" si="76"/>
        <v>65.371128900000002</v>
      </c>
      <c r="AD203" s="2">
        <f t="shared" si="90"/>
        <v>1122.6161357622791</v>
      </c>
      <c r="AE203" s="3">
        <f t="shared" si="91"/>
        <v>202</v>
      </c>
    </row>
    <row r="204" spans="1:31" x14ac:dyDescent="0.3">
      <c r="A204">
        <f t="shared" si="78"/>
        <v>203</v>
      </c>
      <c r="B204">
        <f t="shared" si="92"/>
        <v>203000</v>
      </c>
      <c r="C204">
        <f t="shared" si="94"/>
        <v>290</v>
      </c>
      <c r="D204">
        <f t="shared" si="94"/>
        <v>2.5</v>
      </c>
      <c r="E204">
        <f t="shared" si="94"/>
        <v>1.7</v>
      </c>
      <c r="F204">
        <f t="shared" si="94"/>
        <v>48</v>
      </c>
      <c r="G204">
        <f t="shared" si="94"/>
        <v>21</v>
      </c>
      <c r="I204" s="2">
        <f t="shared" si="80"/>
        <v>1588.6209993914631</v>
      </c>
      <c r="J204">
        <f t="shared" si="84"/>
        <v>203000</v>
      </c>
      <c r="K204">
        <f t="shared" si="85"/>
        <v>3300</v>
      </c>
      <c r="L204" s="3">
        <f>9.80665*K204*J204/1000000000</f>
        <v>6.5694748350000003</v>
      </c>
      <c r="M204" s="3">
        <f t="shared" si="87"/>
        <v>65.694748349999998</v>
      </c>
      <c r="N204" s="2">
        <f t="shared" si="88"/>
        <v>1316.470999391463</v>
      </c>
      <c r="Q204" s="1">
        <f t="shared" si="81"/>
        <v>203</v>
      </c>
      <c r="R204">
        <f t="shared" si="82"/>
        <v>203000</v>
      </c>
      <c r="S204">
        <f t="shared" si="93"/>
        <v>290</v>
      </c>
      <c r="T204">
        <f t="shared" si="93"/>
        <v>2.5</v>
      </c>
      <c r="U204">
        <f t="shared" si="93"/>
        <v>1.7</v>
      </c>
      <c r="V204">
        <f t="shared" si="93"/>
        <v>47</v>
      </c>
      <c r="W204">
        <f t="shared" si="93"/>
        <v>22</v>
      </c>
      <c r="Y204" s="2">
        <f t="shared" si="83"/>
        <v>1398.6076405861822</v>
      </c>
      <c r="Z204">
        <f t="shared" si="74"/>
        <v>203000</v>
      </c>
      <c r="AA204">
        <f t="shared" si="89"/>
        <v>3300</v>
      </c>
      <c r="AB204" s="3">
        <f>9.80665*AA204*Z204/1000000000</f>
        <v>6.5694748350000003</v>
      </c>
      <c r="AC204" s="4">
        <f t="shared" si="76"/>
        <v>65.694748349999998</v>
      </c>
      <c r="AD204" s="2">
        <f t="shared" si="90"/>
        <v>1126.4576405861822</v>
      </c>
      <c r="AE204" s="3">
        <f t="shared" si="91"/>
        <v>203</v>
      </c>
    </row>
    <row r="205" spans="1:31" x14ac:dyDescent="0.3">
      <c r="A205">
        <f t="shared" si="78"/>
        <v>204</v>
      </c>
      <c r="B205">
        <f t="shared" si="92"/>
        <v>204000</v>
      </c>
      <c r="C205">
        <f t="shared" si="94"/>
        <v>290</v>
      </c>
      <c r="D205">
        <f t="shared" si="94"/>
        <v>2.5</v>
      </c>
      <c r="E205">
        <f t="shared" si="94"/>
        <v>1.7</v>
      </c>
      <c r="F205">
        <f t="shared" si="94"/>
        <v>48</v>
      </c>
      <c r="G205">
        <f t="shared" si="94"/>
        <v>21</v>
      </c>
      <c r="I205" s="2">
        <f t="shared" si="80"/>
        <v>1593.541882977619</v>
      </c>
      <c r="J205">
        <f t="shared" si="84"/>
        <v>204000</v>
      </c>
      <c r="K205">
        <f t="shared" si="85"/>
        <v>3300</v>
      </c>
      <c r="L205" s="3">
        <f t="shared" si="86"/>
        <v>6.6018367800000002</v>
      </c>
      <c r="M205" s="3">
        <f t="shared" si="87"/>
        <v>66.018367800000007</v>
      </c>
      <c r="N205" s="2">
        <f t="shared" si="88"/>
        <v>1321.3918829776189</v>
      </c>
      <c r="Q205" s="1">
        <f t="shared" si="81"/>
        <v>204</v>
      </c>
      <c r="R205">
        <f t="shared" si="82"/>
        <v>204000</v>
      </c>
      <c r="S205">
        <f t="shared" si="93"/>
        <v>290</v>
      </c>
      <c r="T205">
        <f t="shared" si="93"/>
        <v>2.5</v>
      </c>
      <c r="U205">
        <f t="shared" si="93"/>
        <v>1.7</v>
      </c>
      <c r="V205">
        <f t="shared" si="93"/>
        <v>47</v>
      </c>
      <c r="W205">
        <f t="shared" si="93"/>
        <v>22</v>
      </c>
      <c r="Y205" s="2">
        <f t="shared" si="83"/>
        <v>1402.4490785402809</v>
      </c>
      <c r="Z205">
        <f t="shared" si="74"/>
        <v>204000</v>
      </c>
      <c r="AA205">
        <f t="shared" si="89"/>
        <v>3300</v>
      </c>
      <c r="AB205" s="3">
        <f>9.80665*AA205*Z205/1000000000</f>
        <v>6.6018367800000002</v>
      </c>
      <c r="AC205" s="4">
        <f t="shared" si="76"/>
        <v>66.018367800000007</v>
      </c>
      <c r="AD205" s="2">
        <f t="shared" si="90"/>
        <v>1130.2990785402808</v>
      </c>
      <c r="AE205" s="3">
        <f t="shared" si="91"/>
        <v>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Stephanie Greene</dc:creator>
  <cp:lastModifiedBy>Stephanie Greene</cp:lastModifiedBy>
  <dcterms:created xsi:type="dcterms:W3CDTF">2026-08-23T08:18:30Z</dcterms:created>
  <dcterms:modified xsi:type="dcterms:W3CDTF">2026-08-23T08:18:51Z</dcterms:modified>
</cp:coreProperties>
</file>